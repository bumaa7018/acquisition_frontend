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 Ajil\Мэдээллийн сан\LAST-2026021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0" i="1" l="1"/>
  <c r="B110" i="1"/>
  <c r="D109" i="1"/>
  <c r="B109" i="1"/>
  <c r="D108" i="1"/>
  <c r="B108" i="1"/>
  <c r="D107" i="1"/>
  <c r="B107" i="1"/>
  <c r="D106" i="1"/>
  <c r="B106" i="1"/>
  <c r="D105" i="1"/>
  <c r="B105" i="1"/>
  <c r="D104" i="1"/>
  <c r="B104" i="1"/>
  <c r="D103" i="1"/>
  <c r="B103" i="1"/>
  <c r="D102" i="1"/>
  <c r="B102" i="1"/>
  <c r="D101" i="1"/>
  <c r="B101" i="1"/>
  <c r="D100" i="1"/>
  <c r="B100" i="1"/>
  <c r="D99" i="1"/>
  <c r="B99" i="1"/>
  <c r="D98" i="1"/>
  <c r="B98" i="1"/>
  <c r="D97" i="1"/>
  <c r="B97" i="1"/>
  <c r="D96" i="1"/>
  <c r="B96" i="1"/>
  <c r="D95" i="1"/>
  <c r="B95" i="1"/>
  <c r="D94" i="1"/>
  <c r="B94" i="1"/>
  <c r="D93" i="1"/>
  <c r="B93" i="1"/>
  <c r="D92" i="1"/>
  <c r="B92" i="1"/>
  <c r="D91" i="1"/>
  <c r="B91" i="1"/>
  <c r="D90" i="1"/>
  <c r="B90" i="1"/>
  <c r="D89" i="1"/>
  <c r="B89" i="1"/>
  <c r="D88" i="1"/>
  <c r="B88" i="1"/>
  <c r="D87" i="1"/>
  <c r="B87" i="1"/>
  <c r="D86" i="1"/>
  <c r="B86" i="1"/>
  <c r="D85" i="1"/>
  <c r="B85" i="1"/>
  <c r="D84" i="1"/>
  <c r="B84" i="1"/>
  <c r="D83" i="1"/>
  <c r="B83" i="1"/>
  <c r="D82" i="1"/>
  <c r="B82" i="1"/>
</calcChain>
</file>

<file path=xl/sharedStrings.xml><?xml version="1.0" encoding="utf-8"?>
<sst xmlns="http://schemas.openxmlformats.org/spreadsheetml/2006/main" count="217" uniqueCount="130">
  <si>
    <t>ГУРАВ. ҮНЭЛГЭЭНИЙ ЗҮЙЛИЙН ТОДОРХОЙЛОЛТ, ОРЧНЫ ШИНЖИЛГЭЭ, ЭРХ ЗҮЙН БАЙДАЛ</t>
  </si>
  <si>
    <t>№</t>
  </si>
  <si>
    <t>Үнэлж буй хөрөнгийн нэр</t>
  </si>
  <si>
    <t>Хэмжих нэгж</t>
  </si>
  <si>
    <t>Хүчин чадал</t>
  </si>
  <si>
    <t>Үнэлж буй хөрөнгийн тодорхойлолт</t>
  </si>
  <si>
    <t>Газар</t>
  </si>
  <si>
    <t>м.кв</t>
  </si>
  <si>
    <t>Барилга-1</t>
  </si>
  <si>
    <t>Барилга-2</t>
  </si>
  <si>
    <t>Барилга-3</t>
  </si>
  <si>
    <t>Тамбар-модон</t>
  </si>
  <si>
    <t>Тамбар-болок</t>
  </si>
  <si>
    <t>Тамбар-холимог</t>
  </si>
  <si>
    <t>Граш-болок</t>
  </si>
  <si>
    <t>Граш-мод</t>
  </si>
  <si>
    <t>Граш-холимог</t>
  </si>
  <si>
    <t>Хашаа-модон</t>
  </si>
  <si>
    <t>Хашаа-болок</t>
  </si>
  <si>
    <t>Хашаа-төмөр</t>
  </si>
  <si>
    <t>Хашаа-төмөр сараалжин</t>
  </si>
  <si>
    <t>Амбаар-Модон</t>
  </si>
  <si>
    <t>Амбаар-төмөр</t>
  </si>
  <si>
    <t>Амбаар-тоосго</t>
  </si>
  <si>
    <t>Амбаар-холимог</t>
  </si>
  <si>
    <t>Жорлон-энгийн 1 хүн</t>
  </si>
  <si>
    <t>ш</t>
  </si>
  <si>
    <t>Жорлон-энгийн 2 хүн</t>
  </si>
  <si>
    <t>Жорлон-кольцоотой</t>
  </si>
  <si>
    <t>Цемент зам талбай</t>
  </si>
  <si>
    <t>Цутгамал бетон шат</t>
  </si>
  <si>
    <t>Хүлэмж</t>
  </si>
  <si>
    <t>Хашааны хаалга-энгийн дэлгэдэг төмөр</t>
  </si>
  <si>
    <t>Хашааны хаалга-энгийн гүйдэг төмөр</t>
  </si>
  <si>
    <t>Хашааны хаалга-гоёлын гүйдэг төмөр</t>
  </si>
  <si>
    <t>Хашлага-модон</t>
  </si>
  <si>
    <t>Хашлага-төмөр</t>
  </si>
  <si>
    <t>Мод-навчит</t>
  </si>
  <si>
    <t>Мод-шилмүүст</t>
  </si>
  <si>
    <t>Мод-бут сөөг</t>
  </si>
  <si>
    <t>Шигтгэсэн явган зам</t>
  </si>
  <si>
    <t>Нийт</t>
  </si>
  <si>
    <t>Хүснэгт-2</t>
  </si>
  <si>
    <t>Үзүүлэлт</t>
  </si>
  <si>
    <t>Тодорхойлолт</t>
  </si>
  <si>
    <t>Газар өмчлөгчийн овог нэр</t>
  </si>
  <si>
    <t>Газрын гэрчилгээний дугаар</t>
  </si>
  <si>
    <t>Нэгж талбарын дугаар</t>
  </si>
  <si>
    <t>Улсын бүртгэлийн дугаар</t>
  </si>
  <si>
    <t>Гэрчилгээнд заасан газрын хэмжээ</t>
  </si>
  <si>
    <t>Газрын зориулалт</t>
  </si>
  <si>
    <t>Газрын байршил</t>
  </si>
  <si>
    <t xml:space="preserve">3.3. Газрын үнэлгээ                                                              </t>
  </si>
  <si>
    <t>Хүснэгт-3</t>
  </si>
  <si>
    <t>Дүн</t>
  </si>
  <si>
    <t>Чөлөөлөлтөнд өртсөн газрын хэмжээ</t>
  </si>
  <si>
    <t>м2</t>
  </si>
  <si>
    <t>Газрын 1 м2 талбайн суурь үнэ</t>
  </si>
  <si>
    <t>Төгрөг</t>
  </si>
  <si>
    <t>Газрын үнэлгээ</t>
  </si>
  <si>
    <t>Барилгын үзүүлэлт</t>
  </si>
  <si>
    <t>Хийцийн төрөл</t>
  </si>
  <si>
    <t>Давхрын тоо</t>
  </si>
  <si>
    <t>Суурь бүтэц</t>
  </si>
  <si>
    <t>Хана</t>
  </si>
  <si>
    <t>Хучилт-дээвэр</t>
  </si>
  <si>
    <t>Хаалга</t>
  </si>
  <si>
    <t>Цонх</t>
  </si>
  <si>
    <t>Халаалтын шийдэл</t>
  </si>
  <si>
    <t>Чанар</t>
  </si>
  <si>
    <t>Талбай</t>
  </si>
  <si>
    <t>Хүснэгт-5</t>
  </si>
  <si>
    <t>Үнэлгээнд баримтлах зах зээлийн үнийн дундаж жишиг нэгж м.Кв талбайн төсөвт өртөг</t>
  </si>
  <si>
    <t>Барилгын талбай</t>
  </si>
  <si>
    <t>М.кв</t>
  </si>
  <si>
    <t>Итгэлцүүр</t>
  </si>
  <si>
    <t>Үнийн өсөлт</t>
  </si>
  <si>
    <t>Коэф</t>
  </si>
  <si>
    <t>Халаалт</t>
  </si>
  <si>
    <t>Өндөр</t>
  </si>
  <si>
    <t>Бусад</t>
  </si>
  <si>
    <t>Барилгын нөхөн орлуулах өртөг</t>
  </si>
  <si>
    <t>Хүснэгт-6</t>
  </si>
  <si>
    <t>Хөрөнгийн нэрс</t>
  </si>
  <si>
    <t>Нэгж үнэ</t>
  </si>
  <si>
    <t>Нийт үнэ</t>
  </si>
  <si>
    <t>Зардлын нэр</t>
  </si>
  <si>
    <t>Тоо хэмжээ</t>
  </si>
  <si>
    <t>Нэгжийн үнэ</t>
  </si>
  <si>
    <t>Түр суурьшуулах зардал</t>
  </si>
  <si>
    <t>Сар</t>
  </si>
  <si>
    <t>Хүснэгт-8</t>
  </si>
  <si>
    <t>Хөрөнгийн үнэлгээний зүйлс</t>
  </si>
  <si>
    <t>Хөрөнгийн үнэлгээ</t>
  </si>
  <si>
    <t>Хувийн сууц-1</t>
  </si>
  <si>
    <t>Хувийн сууц-2</t>
  </si>
  <si>
    <t>Хувийн сууц-3</t>
  </si>
  <si>
    <t>Бусад эд хөрөнгө</t>
  </si>
  <si>
    <t>ТАВ. НИЙЦЭЛТИЙН МЭДЭГДЭЛ, ХАВСРАЛТ</t>
  </si>
  <si>
    <t>5.1 Үнэлгээний баталгаа, хязгаарлах нөхцөл</t>
  </si>
  <si>
    <t>Хүснэгт 1</t>
  </si>
  <si>
    <t>Нөлөөлөлд өртсөн газрын хэмжээ</t>
  </si>
  <si>
    <t xml:space="preserve">3.4. Барилгын тодорхойлолт                                                                             </t>
  </si>
  <si>
    <t>Хүснэгт-4</t>
  </si>
  <si>
    <t>Хүснэгт-7</t>
  </si>
  <si>
    <t>Нүүлгэн шилжүүлэх зардал</t>
  </si>
  <si>
    <t>Барилга буулгах, тээвэрлэх зардал</t>
  </si>
  <si>
    <t xml:space="preserve">Граж болон блокон хашаа, цементэн зам талбай буулгах зөөх зардал </t>
  </si>
  <si>
    <t>Модон хашаа, гүйдэг хаалга болон евро хашааг буулгах зардал</t>
  </si>
  <si>
    <t>Контейнер зөөвөрлөх зардал</t>
  </si>
  <si>
    <t>Хог хаягдлын зардал</t>
  </si>
  <si>
    <t>Хүн/цаг</t>
  </si>
  <si>
    <t>удаа</t>
  </si>
  <si>
    <t xml:space="preserve">3.2 Газрын эрх зүйн байдлын мэдээлэл    </t>
  </si>
  <si>
    <t xml:space="preserve">Улаанбаатар хот, ...............................дүүрэг, ....-р хороо, ..............................-р гудамж, .......... тоот хаягт байршилтай иргэн ..................................... /............................/- газар, хувийн сууц, бусад эд хөрөнгийн нөхөх олговрын зориулалттай хөрөнгийн үнэлгээг хийж гүйцэтгэв. </t>
  </si>
  <si>
    <t>3.1 Үнэлж буй хөрөнгүүдийн танилцуулга</t>
  </si>
  <si>
    <t>3.5. Барилга байгууламжийн өртгийн хандлагаарх тооцоолол</t>
  </si>
  <si>
    <t>ТАЙЛБАР:</t>
  </si>
  <si>
    <t>Бүрэн орлуулах өртөг</t>
  </si>
  <si>
    <t>Элэгдлийн хувь</t>
  </si>
  <si>
    <t>Элэгдлийн дүн</t>
  </si>
  <si>
    <t>ОАБ зардал</t>
  </si>
  <si>
    <t>Хүснэгт-9</t>
  </si>
  <si>
    <t xml:space="preserve">3.6. Бусад эд хөрөнгийн зардлын тооцоолол                                                                          </t>
  </si>
  <si>
    <t xml:space="preserve">3.7. Түр суурьшуулах зардал                                                                             </t>
  </si>
  <si>
    <t>3.8 Газар чөлөөлөх зардал</t>
  </si>
  <si>
    <t>3.9 Орлогын алдагдсан боломж</t>
  </si>
  <si>
    <t>4.1. Хөрөнгийн үнэлгээний тайлангийн хураангуй нэгтгэл</t>
  </si>
  <si>
    <t>Иргэн ..................................../........................./-н өмчлөл, эзэмшлийн хөрөнгийн нөхөн олговрын дүнг бүхэлчилж ................................(Үсгээр..................................................................)-н төгрөгөөр тогтоов.</t>
  </si>
  <si>
    <t xml:space="preserve">4.2. Хөрөнгийн үнэлгээний тайлангийн дүгнэлт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</si>
</sst>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"/>
    <numFmt numFmtId="165" formatCode="_-* #,##0_-;\-* #,##0_-;_-* &quot;-&quot;??_-;_-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D9E2F3"/>
      </patternFill>
    </fill>
    <fill>
      <patternFill patternType="solid">
        <fgColor rgb="FF0070C0"/>
        <bgColor rgb="FFD9E2F3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0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/>
    <xf numFmtId="0" fontId="5" fillId="0" borderId="3" xfId="0" applyFont="1" applyBorder="1"/>
    <xf numFmtId="0" fontId="5" fillId="0" borderId="4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left" wrapText="1"/>
    </xf>
    <xf numFmtId="0" fontId="7" fillId="0" borderId="10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5" fillId="0" borderId="19" xfId="0" applyFont="1" applyBorder="1"/>
    <xf numFmtId="0" fontId="11" fillId="4" borderId="10" xfId="0" applyFont="1" applyFill="1" applyBorder="1" applyAlignment="1">
      <alignment horizontal="left" vertical="center"/>
    </xf>
    <xf numFmtId="0" fontId="11" fillId="4" borderId="15" xfId="0" applyFont="1" applyFill="1" applyBorder="1" applyAlignment="1">
      <alignment horizontal="left" vertical="center"/>
    </xf>
    <xf numFmtId="0" fontId="11" fillId="4" borderId="16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12" xfId="0" applyFont="1" applyBorder="1"/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9" fillId="0" borderId="3" xfId="0" applyFont="1" applyBorder="1"/>
    <xf numFmtId="0" fontId="9" fillId="0" borderId="4" xfId="0" applyFont="1" applyBorder="1"/>
    <xf numFmtId="0" fontId="8" fillId="0" borderId="2" xfId="0" applyFont="1" applyBorder="1" applyAlignment="1">
      <alignment horizontal="left" wrapText="1"/>
    </xf>
    <xf numFmtId="0" fontId="8" fillId="0" borderId="7" xfId="0" applyFont="1" applyBorder="1" applyAlignment="1">
      <alignment horizontal="center" vertical="center"/>
    </xf>
    <xf numFmtId="0" fontId="9" fillId="0" borderId="9" xfId="0" applyFont="1" applyBorder="1"/>
    <xf numFmtId="0" fontId="9" fillId="0" borderId="19" xfId="0" applyFont="1" applyBorder="1"/>
    <xf numFmtId="0" fontId="8" fillId="0" borderId="18" xfId="0" applyFont="1" applyBorder="1" applyAlignment="1">
      <alignment horizontal="left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/>
    </xf>
    <xf numFmtId="0" fontId="6" fillId="5" borderId="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12" fillId="3" borderId="0" xfId="0" applyFont="1" applyFill="1" applyBorder="1"/>
    <xf numFmtId="0" fontId="12" fillId="3" borderId="21" xfId="0" applyFont="1" applyFill="1" applyBorder="1"/>
    <xf numFmtId="0" fontId="8" fillId="0" borderId="1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9" fillId="0" borderId="10" xfId="0" applyFont="1" applyBorder="1"/>
    <xf numFmtId="0" fontId="8" fillId="0" borderId="10" xfId="0" applyFont="1" applyBorder="1" applyAlignment="1">
      <alignment horizontal="left" wrapText="1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164" fontId="4" fillId="0" borderId="1" xfId="0" applyNumberFormat="1" applyFont="1" applyBorder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/>
    <xf numFmtId="164" fontId="4" fillId="0" borderId="10" xfId="0" applyNumberFormat="1" applyFont="1" applyBorder="1"/>
    <xf numFmtId="0" fontId="11" fillId="4" borderId="10" xfId="0" applyFont="1" applyFill="1" applyBorder="1" applyAlignment="1">
      <alignment horizontal="right" vertical="center"/>
    </xf>
    <xf numFmtId="0" fontId="11" fillId="4" borderId="10" xfId="0" applyFont="1" applyFill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6" fillId="0" borderId="0" xfId="0" applyFont="1"/>
    <xf numFmtId="0" fontId="7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0" xfId="0" applyFont="1" applyBorder="1" applyAlignment="1"/>
    <xf numFmtId="0" fontId="9" fillId="0" borderId="10" xfId="0" applyFont="1" applyBorder="1" applyAlignment="1">
      <alignment vertical="top"/>
    </xf>
    <xf numFmtId="0" fontId="8" fillId="0" borderId="10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4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164" fontId="4" fillId="0" borderId="18" xfId="0" applyNumberFormat="1" applyFont="1" applyBorder="1" applyAlignment="1">
      <alignment horizontal="center"/>
    </xf>
    <xf numFmtId="164" fontId="4" fillId="0" borderId="7" xfId="0" applyNumberFormat="1" applyFont="1" applyBorder="1"/>
    <xf numFmtId="0" fontId="7" fillId="0" borderId="5" xfId="0" applyFont="1" applyFill="1" applyBorder="1" applyAlignment="1">
      <alignment horizontal="center" vertical="center"/>
    </xf>
    <xf numFmtId="165" fontId="4" fillId="0" borderId="7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7" xfId="0" applyFont="1" applyBorder="1"/>
    <xf numFmtId="164" fontId="6" fillId="0" borderId="7" xfId="0" applyNumberFormat="1" applyFont="1" applyBorder="1"/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/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65" fontId="4" fillId="0" borderId="10" xfId="0" applyNumberFormat="1" applyFont="1" applyBorder="1"/>
    <xf numFmtId="0" fontId="9" fillId="0" borderId="10" xfId="0" applyFont="1" applyBorder="1" applyAlignment="1">
      <alignment horizontal="left"/>
    </xf>
    <xf numFmtId="0" fontId="8" fillId="0" borderId="1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/>
    </xf>
    <xf numFmtId="0" fontId="7" fillId="0" borderId="11" xfId="0" applyFont="1" applyFill="1" applyBorder="1" applyAlignment="1">
      <alignment horizontal="center"/>
    </xf>
    <xf numFmtId="0" fontId="9" fillId="0" borderId="6" xfId="0" applyFont="1" applyFill="1" applyBorder="1"/>
    <xf numFmtId="0" fontId="9" fillId="0" borderId="12" xfId="0" applyFont="1" applyFill="1" applyBorder="1"/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5" fillId="0" borderId="10" xfId="0" applyFont="1" applyFill="1" applyBorder="1"/>
    <xf numFmtId="0" fontId="4" fillId="0" borderId="10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/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0" fillId="3" borderId="10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22" xfId="0" applyFont="1" applyFill="1" applyBorder="1" applyAlignment="1">
      <alignment horizontal="right"/>
    </xf>
    <xf numFmtId="0" fontId="8" fillId="0" borderId="15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5" fillId="0" borderId="21" xfId="0" applyFont="1" applyFill="1" applyBorder="1"/>
    <xf numFmtId="0" fontId="6" fillId="0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5" fillId="0" borderId="12" xfId="0" applyFont="1" applyFill="1" applyBorder="1"/>
    <xf numFmtId="0" fontId="6" fillId="0" borderId="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5" fillId="0" borderId="10" xfId="0" applyFont="1" applyBorder="1" applyAlignment="1"/>
    <xf numFmtId="0" fontId="6" fillId="5" borderId="8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3" borderId="21" xfId="0" applyFont="1" applyFill="1" applyBorder="1"/>
    <xf numFmtId="0" fontId="6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/>
    </xf>
    <xf numFmtId="0" fontId="5" fillId="3" borderId="10" xfId="0" applyFont="1" applyFill="1" applyBorder="1"/>
    <xf numFmtId="0" fontId="6" fillId="6" borderId="10" xfId="0" applyFont="1" applyFill="1" applyBorder="1"/>
    <xf numFmtId="164" fontId="6" fillId="6" borderId="10" xfId="0" applyNumberFormat="1" applyFont="1" applyFill="1" applyBorder="1"/>
    <xf numFmtId="0" fontId="11" fillId="7" borderId="1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wrapText="1"/>
    </xf>
    <xf numFmtId="0" fontId="12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6" fillId="0" borderId="10" xfId="0" applyNumberFormat="1" applyFont="1" applyBorder="1" applyAlignment="1">
      <alignment vertical="center"/>
    </xf>
    <xf numFmtId="0" fontId="8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10" fillId="0" borderId="10" xfId="0" applyFont="1" applyBorder="1" applyAlignment="1">
      <alignment vertical="top" wrapText="1"/>
    </xf>
    <xf numFmtId="0" fontId="4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/>
    </xf>
    <xf numFmtId="0" fontId="12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9"/>
  <sheetViews>
    <sheetView tabSelected="1" topLeftCell="A124" workbookViewId="0">
      <selection activeCell="G111" sqref="G111"/>
    </sheetView>
  </sheetViews>
  <sheetFormatPr defaultColWidth="14.42578125" defaultRowHeight="15" x14ac:dyDescent="0.25"/>
  <cols>
    <col min="1" max="1" width="3.85546875" style="2" bestFit="1" customWidth="1"/>
    <col min="2" max="2" width="22.42578125" style="2" customWidth="1"/>
    <col min="3" max="3" width="16.140625" style="2" customWidth="1"/>
    <col min="4" max="4" width="10.28515625" style="2" customWidth="1"/>
    <col min="5" max="5" width="12.42578125" style="2" customWidth="1"/>
    <col min="6" max="6" width="16.85546875" style="2" bestFit="1" customWidth="1"/>
    <col min="7" max="7" width="18.7109375" style="2" customWidth="1"/>
    <col min="8" max="26" width="9.140625" style="2" customWidth="1"/>
    <col min="27" max="16384" width="14.42578125" style="2"/>
  </cols>
  <sheetData>
    <row r="1" spans="1:26" ht="42.75" customHeight="1" x14ac:dyDescent="0.25">
      <c r="A1" s="6" t="s">
        <v>0</v>
      </c>
      <c r="B1" s="7"/>
      <c r="C1" s="7"/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7.25" customHeight="1" x14ac:dyDescent="0.25">
      <c r="A2" s="17" t="s">
        <v>114</v>
      </c>
      <c r="B2" s="18"/>
      <c r="C2" s="18"/>
      <c r="D2" s="18"/>
      <c r="E2" s="18"/>
      <c r="F2" s="18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3" t="s">
        <v>115</v>
      </c>
      <c r="B3" s="23"/>
      <c r="C3" s="23"/>
      <c r="D3" s="23"/>
      <c r="E3" s="23"/>
      <c r="F3" s="23"/>
      <c r="G3" s="37" t="s">
        <v>100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x14ac:dyDescent="0.25">
      <c r="A4" s="52" t="s">
        <v>1</v>
      </c>
      <c r="B4" s="53" t="s">
        <v>2</v>
      </c>
      <c r="C4" s="53" t="s">
        <v>3</v>
      </c>
      <c r="D4" s="53" t="s">
        <v>4</v>
      </c>
      <c r="E4" s="54" t="s">
        <v>5</v>
      </c>
      <c r="F4" s="55"/>
      <c r="G4" s="5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5">
        <v>1</v>
      </c>
      <c r="B5" s="30" t="s">
        <v>6</v>
      </c>
      <c r="C5" s="31" t="s">
        <v>7</v>
      </c>
      <c r="D5" s="31"/>
      <c r="E5" s="32"/>
      <c r="F5" s="33"/>
      <c r="G5" s="3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5">
        <v>2</v>
      </c>
      <c r="B6" s="30" t="s">
        <v>8</v>
      </c>
      <c r="C6" s="31" t="s">
        <v>7</v>
      </c>
      <c r="D6" s="31"/>
      <c r="E6" s="32"/>
      <c r="F6" s="33"/>
      <c r="G6" s="3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36">
        <v>3</v>
      </c>
      <c r="B7" s="30" t="s">
        <v>9</v>
      </c>
      <c r="C7" s="31" t="s">
        <v>7</v>
      </c>
      <c r="D7" s="31"/>
      <c r="E7" s="32"/>
      <c r="F7" s="33"/>
      <c r="G7" s="3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1">
        <v>4</v>
      </c>
      <c r="B8" s="30" t="s">
        <v>10</v>
      </c>
      <c r="C8" s="31" t="s">
        <v>7</v>
      </c>
      <c r="D8" s="31"/>
      <c r="E8" s="32"/>
      <c r="F8" s="33"/>
      <c r="G8" s="3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1">
        <v>5</v>
      </c>
      <c r="B9" s="30" t="s">
        <v>11</v>
      </c>
      <c r="C9" s="31" t="s">
        <v>7</v>
      </c>
      <c r="D9" s="31"/>
      <c r="E9" s="32"/>
      <c r="F9" s="33"/>
      <c r="G9" s="3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26">
        <v>6</v>
      </c>
      <c r="B10" s="30" t="s">
        <v>12</v>
      </c>
      <c r="C10" s="31" t="s">
        <v>7</v>
      </c>
      <c r="D10" s="31"/>
      <c r="E10" s="32"/>
      <c r="F10" s="33"/>
      <c r="G10" s="3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0">
        <v>7</v>
      </c>
      <c r="B11" s="14" t="s">
        <v>13</v>
      </c>
      <c r="C11" s="13" t="s">
        <v>7</v>
      </c>
      <c r="D11" s="13"/>
      <c r="E11" s="27"/>
      <c r="F11" s="28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0">
        <v>8</v>
      </c>
      <c r="B12" s="11" t="s">
        <v>14</v>
      </c>
      <c r="C12" s="10" t="s">
        <v>7</v>
      </c>
      <c r="D12" s="10"/>
      <c r="E12" s="12"/>
      <c r="F12" s="8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0">
        <v>9</v>
      </c>
      <c r="B13" s="11" t="s">
        <v>15</v>
      </c>
      <c r="C13" s="10" t="s">
        <v>7</v>
      </c>
      <c r="D13" s="10"/>
      <c r="E13" s="12"/>
      <c r="F13" s="8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0">
        <v>10</v>
      </c>
      <c r="B14" s="11" t="s">
        <v>16</v>
      </c>
      <c r="C14" s="10" t="s">
        <v>7</v>
      </c>
      <c r="D14" s="10"/>
      <c r="E14" s="12"/>
      <c r="F14" s="8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0">
        <v>11</v>
      </c>
      <c r="B15" s="11" t="s">
        <v>17</v>
      </c>
      <c r="C15" s="10" t="s">
        <v>7</v>
      </c>
      <c r="D15" s="10"/>
      <c r="E15" s="12"/>
      <c r="F15" s="8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0">
        <v>12</v>
      </c>
      <c r="B16" s="11" t="s">
        <v>18</v>
      </c>
      <c r="C16" s="10" t="s">
        <v>7</v>
      </c>
      <c r="D16" s="10"/>
      <c r="E16" s="12"/>
      <c r="F16" s="8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0">
        <v>13</v>
      </c>
      <c r="B17" s="11" t="s">
        <v>19</v>
      </c>
      <c r="C17" s="10" t="s">
        <v>7</v>
      </c>
      <c r="D17" s="10"/>
      <c r="E17" s="12"/>
      <c r="F17" s="8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 x14ac:dyDescent="0.25">
      <c r="A18" s="10">
        <v>14</v>
      </c>
      <c r="B18" s="11" t="s">
        <v>20</v>
      </c>
      <c r="C18" s="10" t="s">
        <v>7</v>
      </c>
      <c r="D18" s="10"/>
      <c r="E18" s="12"/>
      <c r="F18" s="8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0">
        <v>15</v>
      </c>
      <c r="B19" s="11" t="s">
        <v>21</v>
      </c>
      <c r="C19" s="10" t="s">
        <v>7</v>
      </c>
      <c r="D19" s="10"/>
      <c r="E19" s="12"/>
      <c r="F19" s="8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0">
        <v>16</v>
      </c>
      <c r="B20" s="11" t="s">
        <v>22</v>
      </c>
      <c r="C20" s="10" t="s">
        <v>7</v>
      </c>
      <c r="D20" s="10"/>
      <c r="E20" s="12"/>
      <c r="F20" s="8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0">
        <v>17</v>
      </c>
      <c r="B21" s="11" t="s">
        <v>23</v>
      </c>
      <c r="C21" s="10" t="s">
        <v>7</v>
      </c>
      <c r="D21" s="10"/>
      <c r="E21" s="12"/>
      <c r="F21" s="8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0">
        <v>18</v>
      </c>
      <c r="B22" s="11" t="s">
        <v>24</v>
      </c>
      <c r="C22" s="10" t="s">
        <v>7</v>
      </c>
      <c r="D22" s="10"/>
      <c r="E22" s="12"/>
      <c r="F22" s="34"/>
      <c r="G22" s="3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x14ac:dyDescent="0.25">
      <c r="A23" s="10">
        <v>19</v>
      </c>
      <c r="B23" s="11" t="s">
        <v>25</v>
      </c>
      <c r="C23" s="10" t="s">
        <v>26</v>
      </c>
      <c r="D23" s="10"/>
      <c r="E23" s="12"/>
      <c r="F23" s="8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x14ac:dyDescent="0.25">
      <c r="A24" s="10">
        <v>20</v>
      </c>
      <c r="B24" s="11" t="s">
        <v>27</v>
      </c>
      <c r="C24" s="10" t="s">
        <v>26</v>
      </c>
      <c r="D24" s="10"/>
      <c r="E24" s="12"/>
      <c r="F24" s="8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 x14ac:dyDescent="0.25">
      <c r="A25" s="10">
        <v>21</v>
      </c>
      <c r="B25" s="11" t="s">
        <v>28</v>
      </c>
      <c r="C25" s="10" t="s">
        <v>26</v>
      </c>
      <c r="D25" s="10"/>
      <c r="E25" s="12"/>
      <c r="F25" s="8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5" x14ac:dyDescent="0.25">
      <c r="A26" s="10">
        <v>22</v>
      </c>
      <c r="B26" s="11" t="s">
        <v>29</v>
      </c>
      <c r="C26" s="10" t="s">
        <v>7</v>
      </c>
      <c r="D26" s="10"/>
      <c r="E26" s="12"/>
      <c r="F26" s="8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 x14ac:dyDescent="0.25">
      <c r="A27" s="10">
        <v>23</v>
      </c>
      <c r="B27" s="11" t="s">
        <v>30</v>
      </c>
      <c r="C27" s="10" t="s">
        <v>7</v>
      </c>
      <c r="D27" s="10"/>
      <c r="E27" s="12"/>
      <c r="F27" s="8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0">
        <v>24</v>
      </c>
      <c r="B28" s="11" t="s">
        <v>31</v>
      </c>
      <c r="C28" s="10" t="s">
        <v>7</v>
      </c>
      <c r="D28" s="10"/>
      <c r="E28" s="12"/>
      <c r="F28" s="8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.75" x14ac:dyDescent="0.25">
      <c r="A29" s="10">
        <v>25</v>
      </c>
      <c r="B29" s="11" t="s">
        <v>32</v>
      </c>
      <c r="C29" s="10" t="s">
        <v>26</v>
      </c>
      <c r="D29" s="10"/>
      <c r="E29" s="12"/>
      <c r="F29" s="8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2.75" x14ac:dyDescent="0.25">
      <c r="A30" s="10">
        <v>26</v>
      </c>
      <c r="B30" s="11" t="s">
        <v>33</v>
      </c>
      <c r="C30" s="10" t="s">
        <v>26</v>
      </c>
      <c r="D30" s="10"/>
      <c r="E30" s="12"/>
      <c r="F30" s="8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2.75" x14ac:dyDescent="0.25">
      <c r="A31" s="10">
        <v>27</v>
      </c>
      <c r="B31" s="11" t="s">
        <v>34</v>
      </c>
      <c r="C31" s="10" t="s">
        <v>26</v>
      </c>
      <c r="D31" s="10"/>
      <c r="E31" s="12"/>
      <c r="F31" s="8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0">
        <v>28</v>
      </c>
      <c r="B32" s="11" t="s">
        <v>35</v>
      </c>
      <c r="C32" s="10" t="s">
        <v>7</v>
      </c>
      <c r="D32" s="10"/>
      <c r="E32" s="12"/>
      <c r="F32" s="8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0">
        <v>29</v>
      </c>
      <c r="B33" s="11" t="s">
        <v>36</v>
      </c>
      <c r="C33" s="10" t="s">
        <v>7</v>
      </c>
      <c r="D33" s="10"/>
      <c r="E33" s="12"/>
      <c r="F33" s="8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0">
        <v>30</v>
      </c>
      <c r="B34" s="11" t="s">
        <v>37</v>
      </c>
      <c r="C34" s="10" t="s">
        <v>26</v>
      </c>
      <c r="D34" s="10"/>
      <c r="E34" s="12"/>
      <c r="F34" s="8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0">
        <v>31</v>
      </c>
      <c r="B35" s="11" t="s">
        <v>38</v>
      </c>
      <c r="C35" s="10" t="s">
        <v>26</v>
      </c>
      <c r="D35" s="10"/>
      <c r="E35" s="12"/>
      <c r="F35" s="8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0">
        <v>32</v>
      </c>
      <c r="B36" s="11" t="s">
        <v>39</v>
      </c>
      <c r="C36" s="10" t="s">
        <v>26</v>
      </c>
      <c r="D36" s="10"/>
      <c r="E36" s="12"/>
      <c r="F36" s="8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0">
        <v>33</v>
      </c>
      <c r="B37" s="11" t="s">
        <v>40</v>
      </c>
      <c r="C37" s="10" t="s">
        <v>7</v>
      </c>
      <c r="D37" s="10"/>
      <c r="E37" s="12"/>
      <c r="F37" s="8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3" t="s">
        <v>113</v>
      </c>
      <c r="B38" s="23"/>
      <c r="C38" s="23"/>
      <c r="D38" s="23"/>
      <c r="E38" s="23"/>
      <c r="F38" s="23"/>
      <c r="G38" s="71" t="s">
        <v>42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92" t="s">
        <v>1</v>
      </c>
      <c r="B39" s="108" t="s">
        <v>43</v>
      </c>
      <c r="C39" s="109"/>
      <c r="D39" s="110"/>
      <c r="E39" s="108" t="s">
        <v>44</v>
      </c>
      <c r="F39" s="109"/>
      <c r="G39" s="1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1">
        <v>1</v>
      </c>
      <c r="B40" s="42" t="s">
        <v>45</v>
      </c>
      <c r="C40" s="43"/>
      <c r="D40" s="44"/>
      <c r="E40" s="45"/>
      <c r="F40" s="43"/>
      <c r="G40" s="4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1">
        <v>2</v>
      </c>
      <c r="B41" s="42" t="s">
        <v>46</v>
      </c>
      <c r="C41" s="43"/>
      <c r="D41" s="44"/>
      <c r="E41" s="45"/>
      <c r="F41" s="43"/>
      <c r="G41" s="4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1">
        <v>3</v>
      </c>
      <c r="B42" s="42" t="s">
        <v>47</v>
      </c>
      <c r="C42" s="43"/>
      <c r="D42" s="44"/>
      <c r="E42" s="45"/>
      <c r="F42" s="43"/>
      <c r="G42" s="4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1">
        <v>4</v>
      </c>
      <c r="B43" s="42" t="s">
        <v>48</v>
      </c>
      <c r="C43" s="43"/>
      <c r="D43" s="44"/>
      <c r="E43" s="45"/>
      <c r="F43" s="43"/>
      <c r="G43" s="4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41">
        <v>5</v>
      </c>
      <c r="B44" s="42" t="s">
        <v>49</v>
      </c>
      <c r="C44" s="43"/>
      <c r="D44" s="44"/>
      <c r="E44" s="45"/>
      <c r="F44" s="43"/>
      <c r="G44" s="4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46">
        <v>6</v>
      </c>
      <c r="B45" s="57" t="s">
        <v>50</v>
      </c>
      <c r="C45" s="58"/>
      <c r="D45" s="59"/>
      <c r="E45" s="49"/>
      <c r="F45" s="47"/>
      <c r="G45" s="4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60">
        <v>7</v>
      </c>
      <c r="B46" s="61" t="s">
        <v>51</v>
      </c>
      <c r="C46" s="62"/>
      <c r="D46" s="62"/>
      <c r="E46" s="82"/>
      <c r="F46" s="83"/>
      <c r="G46" s="8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60">
        <v>8</v>
      </c>
      <c r="B47" s="50" t="s">
        <v>101</v>
      </c>
      <c r="C47" s="62"/>
      <c r="D47" s="62"/>
      <c r="E47" s="63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23" t="s">
        <v>52</v>
      </c>
      <c r="B48" s="23"/>
      <c r="C48" s="23"/>
      <c r="D48" s="23"/>
      <c r="E48" s="23"/>
      <c r="F48" s="23"/>
      <c r="G48" s="72" t="s">
        <v>53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11" t="s">
        <v>1</v>
      </c>
      <c r="B49" s="112" t="s">
        <v>43</v>
      </c>
      <c r="C49" s="113"/>
      <c r="D49" s="113"/>
      <c r="E49" s="113"/>
      <c r="F49" s="114" t="s">
        <v>3</v>
      </c>
      <c r="G49" s="111" t="s">
        <v>54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67">
        <v>1</v>
      </c>
      <c r="B50" s="68" t="s">
        <v>55</v>
      </c>
      <c r="C50" s="33"/>
      <c r="D50" s="33"/>
      <c r="E50" s="33"/>
      <c r="F50" s="69" t="s">
        <v>56</v>
      </c>
      <c r="G50" s="7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67">
        <v>2</v>
      </c>
      <c r="B51" s="68" t="s">
        <v>57</v>
      </c>
      <c r="C51" s="33"/>
      <c r="D51" s="33"/>
      <c r="E51" s="33"/>
      <c r="F51" s="69" t="s">
        <v>58</v>
      </c>
      <c r="G51" s="7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67">
        <v>3</v>
      </c>
      <c r="B52" s="68" t="s">
        <v>59</v>
      </c>
      <c r="C52" s="73"/>
      <c r="D52" s="73"/>
      <c r="E52" s="73"/>
      <c r="F52" s="69"/>
      <c r="G52" s="7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59" t="s">
        <v>117</v>
      </c>
      <c r="B53" s="81"/>
      <c r="C53" s="81"/>
      <c r="D53" s="81"/>
      <c r="E53" s="81"/>
      <c r="F53" s="81"/>
      <c r="G53" s="8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23" t="s">
        <v>102</v>
      </c>
      <c r="B54" s="23"/>
      <c r="C54" s="23"/>
      <c r="D54" s="23"/>
      <c r="E54" s="23"/>
      <c r="F54" s="23"/>
      <c r="G54" s="72" t="s">
        <v>103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19" t="s">
        <v>117</v>
      </c>
      <c r="B55" s="120"/>
      <c r="C55" s="120"/>
      <c r="D55" s="120"/>
      <c r="E55" s="120"/>
      <c r="F55" s="120"/>
      <c r="G55" s="12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15" t="s">
        <v>1</v>
      </c>
      <c r="B56" s="116" t="s">
        <v>60</v>
      </c>
      <c r="C56" s="117" t="s">
        <v>8</v>
      </c>
      <c r="D56" s="29"/>
      <c r="E56" s="117" t="s">
        <v>9</v>
      </c>
      <c r="F56" s="29"/>
      <c r="G56" s="118" t="s">
        <v>10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8">
        <v>1</v>
      </c>
      <c r="B57" s="64" t="s">
        <v>61</v>
      </c>
      <c r="C57" s="65"/>
      <c r="D57" s="9"/>
      <c r="E57" s="65"/>
      <c r="F57" s="9"/>
      <c r="G57" s="6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8">
        <v>2</v>
      </c>
      <c r="B58" s="64" t="s">
        <v>62</v>
      </c>
      <c r="C58" s="65"/>
      <c r="D58" s="9"/>
      <c r="E58" s="65"/>
      <c r="F58" s="9"/>
      <c r="G58" s="6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8">
        <v>3</v>
      </c>
      <c r="B59" s="64" t="s">
        <v>63</v>
      </c>
      <c r="C59" s="65"/>
      <c r="D59" s="9"/>
      <c r="E59" s="65"/>
      <c r="F59" s="9"/>
      <c r="G59" s="6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8">
        <v>4</v>
      </c>
      <c r="B60" s="64" t="s">
        <v>64</v>
      </c>
      <c r="C60" s="65"/>
      <c r="D60" s="9"/>
      <c r="E60" s="65"/>
      <c r="F60" s="9"/>
      <c r="G60" s="6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8">
        <v>5</v>
      </c>
      <c r="B61" s="64" t="s">
        <v>65</v>
      </c>
      <c r="C61" s="65"/>
      <c r="D61" s="9"/>
      <c r="E61" s="65"/>
      <c r="F61" s="9"/>
      <c r="G61" s="6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8">
        <v>6</v>
      </c>
      <c r="B62" s="64" t="s">
        <v>66</v>
      </c>
      <c r="C62" s="65"/>
      <c r="D62" s="9"/>
      <c r="E62" s="65"/>
      <c r="F62" s="9"/>
      <c r="G62" s="6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8">
        <v>7</v>
      </c>
      <c r="B63" s="64" t="s">
        <v>67</v>
      </c>
      <c r="C63" s="65"/>
      <c r="D63" s="9"/>
      <c r="E63" s="65"/>
      <c r="F63" s="9"/>
      <c r="G63" s="6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8">
        <v>8</v>
      </c>
      <c r="B64" s="64" t="s">
        <v>68</v>
      </c>
      <c r="C64" s="65"/>
      <c r="D64" s="9"/>
      <c r="E64" s="65"/>
      <c r="F64" s="9"/>
      <c r="G64" s="6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8">
        <v>9</v>
      </c>
      <c r="B65" s="64" t="s">
        <v>69</v>
      </c>
      <c r="C65" s="65"/>
      <c r="D65" s="9"/>
      <c r="E65" s="65"/>
      <c r="F65" s="9"/>
      <c r="G65" s="6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88">
        <v>10</v>
      </c>
      <c r="B66" s="89" t="s">
        <v>70</v>
      </c>
      <c r="C66" s="90"/>
      <c r="D66" s="22"/>
      <c r="E66" s="90"/>
      <c r="F66" s="22"/>
      <c r="G66" s="9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24" t="s">
        <v>116</v>
      </c>
      <c r="B67" s="25"/>
      <c r="C67" s="121"/>
      <c r="D67" s="121"/>
      <c r="E67" s="121"/>
      <c r="F67" s="122"/>
      <c r="G67" s="123" t="s">
        <v>71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s="76" customFormat="1" ht="30" x14ac:dyDescent="0.2">
      <c r="A68" s="149" t="s">
        <v>1</v>
      </c>
      <c r="B68" s="150" t="s">
        <v>43</v>
      </c>
      <c r="C68" s="150"/>
      <c r="D68" s="151" t="s">
        <v>3</v>
      </c>
      <c r="E68" s="149" t="s">
        <v>8</v>
      </c>
      <c r="F68" s="149" t="s">
        <v>9</v>
      </c>
      <c r="G68" s="149" t="s">
        <v>10</v>
      </c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s="76" customFormat="1" ht="15.75" customHeight="1" x14ac:dyDescent="0.2">
      <c r="A69" s="67">
        <v>1</v>
      </c>
      <c r="B69" s="152" t="s">
        <v>72</v>
      </c>
      <c r="C69" s="33"/>
      <c r="D69" s="69" t="s">
        <v>58</v>
      </c>
      <c r="E69" s="100"/>
      <c r="F69" s="69"/>
      <c r="G69" s="70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s="76" customFormat="1" ht="15.75" customHeight="1" x14ac:dyDescent="0.2">
      <c r="A70" s="67">
        <v>2</v>
      </c>
      <c r="B70" s="68" t="s">
        <v>73</v>
      </c>
      <c r="C70" s="33"/>
      <c r="D70" s="69" t="s">
        <v>74</v>
      </c>
      <c r="E70" s="69"/>
      <c r="F70" s="69"/>
      <c r="G70" s="70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s="76" customFormat="1" ht="15.75" customHeight="1" x14ac:dyDescent="0.2">
      <c r="A71" s="67">
        <v>3</v>
      </c>
      <c r="B71" s="101" t="s">
        <v>75</v>
      </c>
      <c r="C71" s="69" t="s">
        <v>76</v>
      </c>
      <c r="D71" s="69" t="s">
        <v>77</v>
      </c>
      <c r="E71" s="69"/>
      <c r="F71" s="69"/>
      <c r="G71" s="70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s="76" customFormat="1" ht="15.75" customHeight="1" x14ac:dyDescent="0.2">
      <c r="A72" s="67">
        <v>4</v>
      </c>
      <c r="B72" s="33"/>
      <c r="C72" s="69" t="s">
        <v>78</v>
      </c>
      <c r="D72" s="69" t="s">
        <v>77</v>
      </c>
      <c r="E72" s="69"/>
      <c r="F72" s="69"/>
      <c r="G72" s="70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s="76" customFormat="1" ht="15.75" customHeight="1" x14ac:dyDescent="0.2">
      <c r="A73" s="67">
        <v>5</v>
      </c>
      <c r="B73" s="33"/>
      <c r="C73" s="69" t="s">
        <v>79</v>
      </c>
      <c r="D73" s="69" t="s">
        <v>77</v>
      </c>
      <c r="E73" s="69"/>
      <c r="F73" s="69"/>
      <c r="G73" s="70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s="76" customFormat="1" ht="15.75" customHeight="1" x14ac:dyDescent="0.2">
      <c r="A74" s="67">
        <v>6</v>
      </c>
      <c r="B74" s="33"/>
      <c r="C74" s="69" t="s">
        <v>80</v>
      </c>
      <c r="D74" s="69" t="s">
        <v>77</v>
      </c>
      <c r="E74" s="69"/>
      <c r="F74" s="69"/>
      <c r="G74" s="70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s="76" customFormat="1" ht="15.75" customHeight="1" x14ac:dyDescent="0.25">
      <c r="A75" s="67">
        <v>7</v>
      </c>
      <c r="B75" s="153" t="s">
        <v>118</v>
      </c>
      <c r="C75" s="153"/>
      <c r="D75" s="69"/>
      <c r="E75" s="69"/>
      <c r="F75" s="69"/>
      <c r="G75" s="70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s="76" customFormat="1" ht="15.75" customHeight="1" x14ac:dyDescent="0.2">
      <c r="A76" s="67">
        <v>8</v>
      </c>
      <c r="B76" s="154" t="s">
        <v>119</v>
      </c>
      <c r="C76" s="154"/>
      <c r="D76" s="69"/>
      <c r="E76" s="69"/>
      <c r="F76" s="69"/>
      <c r="G76" s="70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s="76" customFormat="1" ht="15.75" customHeight="1" x14ac:dyDescent="0.2">
      <c r="A77" s="67">
        <v>9</v>
      </c>
      <c r="B77" s="154" t="s">
        <v>120</v>
      </c>
      <c r="C77" s="154"/>
      <c r="D77" s="69"/>
      <c r="E77" s="69"/>
      <c r="F77" s="69"/>
      <c r="G77" s="70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s="76" customFormat="1" x14ac:dyDescent="0.25">
      <c r="A78" s="67">
        <v>11</v>
      </c>
      <c r="B78" s="137" t="s">
        <v>81</v>
      </c>
      <c r="C78" s="137"/>
      <c r="D78" s="102" t="s">
        <v>58</v>
      </c>
      <c r="E78" s="155"/>
      <c r="F78" s="155"/>
      <c r="G78" s="155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x14ac:dyDescent="0.25">
      <c r="A79" s="19" t="s">
        <v>117</v>
      </c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3" t="s">
        <v>123</v>
      </c>
      <c r="B80" s="23"/>
      <c r="C80" s="23"/>
      <c r="D80" s="23"/>
      <c r="E80" s="23"/>
      <c r="F80" s="23"/>
      <c r="G80" s="72" t="s">
        <v>82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" x14ac:dyDescent="0.25">
      <c r="A81" s="84" t="s">
        <v>1</v>
      </c>
      <c r="B81" s="85" t="s">
        <v>83</v>
      </c>
      <c r="C81" s="86"/>
      <c r="D81" s="87" t="s">
        <v>3</v>
      </c>
      <c r="E81" s="87" t="s">
        <v>4</v>
      </c>
      <c r="F81" s="84" t="s">
        <v>84</v>
      </c>
      <c r="G81" s="84" t="s">
        <v>85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38">
        <v>1</v>
      </c>
      <c r="B82" s="39" t="str">
        <f>B9</f>
        <v>Тамбар-модон</v>
      </c>
      <c r="C82" s="9"/>
      <c r="D82" s="64" t="str">
        <f>C9</f>
        <v>м.кв</v>
      </c>
      <c r="E82" s="64"/>
      <c r="F82" s="66"/>
      <c r="G82" s="6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8">
        <v>2</v>
      </c>
      <c r="B83" s="39" t="str">
        <f>B10</f>
        <v>Тамбар-болок</v>
      </c>
      <c r="C83" s="9"/>
      <c r="D83" s="64" t="str">
        <f>C10</f>
        <v>м.кв</v>
      </c>
      <c r="E83" s="64"/>
      <c r="F83" s="66"/>
      <c r="G83" s="6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38">
        <v>3</v>
      </c>
      <c r="B84" s="39" t="str">
        <f>B11</f>
        <v>Тамбар-холимог</v>
      </c>
      <c r="C84" s="9"/>
      <c r="D84" s="64" t="str">
        <f>C11</f>
        <v>м.кв</v>
      </c>
      <c r="E84" s="64"/>
      <c r="F84" s="66"/>
      <c r="G84" s="6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38">
        <v>4</v>
      </c>
      <c r="B85" s="39" t="str">
        <f>B12</f>
        <v>Граш-болок</v>
      </c>
      <c r="C85" s="9"/>
      <c r="D85" s="64" t="str">
        <f>C12</f>
        <v>м.кв</v>
      </c>
      <c r="E85" s="64"/>
      <c r="F85" s="66"/>
      <c r="G85" s="6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38">
        <v>5</v>
      </c>
      <c r="B86" s="39" t="str">
        <f>B13</f>
        <v>Граш-мод</v>
      </c>
      <c r="C86" s="9"/>
      <c r="D86" s="64" t="str">
        <f>C13</f>
        <v>м.кв</v>
      </c>
      <c r="E86" s="64"/>
      <c r="F86" s="66"/>
      <c r="G86" s="6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8">
        <v>6</v>
      </c>
      <c r="B87" s="39" t="str">
        <f>B14</f>
        <v>Граш-холимог</v>
      </c>
      <c r="C87" s="9"/>
      <c r="D87" s="64" t="str">
        <f>C14</f>
        <v>м.кв</v>
      </c>
      <c r="E87" s="64"/>
      <c r="F87" s="66"/>
      <c r="G87" s="6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8">
        <v>7</v>
      </c>
      <c r="B88" s="39" t="str">
        <f>B15</f>
        <v>Хашаа-модон</v>
      </c>
      <c r="C88" s="9"/>
      <c r="D88" s="64" t="str">
        <f>C15</f>
        <v>м.кв</v>
      </c>
      <c r="E88" s="64"/>
      <c r="F88" s="66"/>
      <c r="G88" s="6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8">
        <v>8</v>
      </c>
      <c r="B89" s="39" t="str">
        <f>B16</f>
        <v>Хашаа-болок</v>
      </c>
      <c r="C89" s="9"/>
      <c r="D89" s="64" t="str">
        <f>C16</f>
        <v>м.кв</v>
      </c>
      <c r="E89" s="64"/>
      <c r="F89" s="66"/>
      <c r="G89" s="6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8">
        <v>9</v>
      </c>
      <c r="B90" s="39" t="str">
        <f>B17</f>
        <v>Хашаа-төмөр</v>
      </c>
      <c r="C90" s="9"/>
      <c r="D90" s="64" t="str">
        <f>C17</f>
        <v>м.кв</v>
      </c>
      <c r="E90" s="64"/>
      <c r="F90" s="66"/>
      <c r="G90" s="6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8">
        <v>10</v>
      </c>
      <c r="B91" s="39" t="str">
        <f>B18</f>
        <v>Хашаа-төмөр сараалжин</v>
      </c>
      <c r="C91" s="9"/>
      <c r="D91" s="64" t="str">
        <f>C18</f>
        <v>м.кв</v>
      </c>
      <c r="E91" s="64"/>
      <c r="F91" s="66"/>
      <c r="G91" s="6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8">
        <v>11</v>
      </c>
      <c r="B92" s="39" t="str">
        <f>B19</f>
        <v>Амбаар-Модон</v>
      </c>
      <c r="C92" s="9"/>
      <c r="D92" s="64" t="str">
        <f>C19</f>
        <v>м.кв</v>
      </c>
      <c r="E92" s="64"/>
      <c r="F92" s="66"/>
      <c r="G92" s="6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">
        <v>12</v>
      </c>
      <c r="B93" s="39" t="str">
        <f>B20</f>
        <v>Амбаар-төмөр</v>
      </c>
      <c r="C93" s="9"/>
      <c r="D93" s="64" t="str">
        <f>C20</f>
        <v>м.кв</v>
      </c>
      <c r="E93" s="64"/>
      <c r="F93" s="66"/>
      <c r="G93" s="6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">
        <v>13</v>
      </c>
      <c r="B94" s="39" t="str">
        <f>B21</f>
        <v>Амбаар-тоосго</v>
      </c>
      <c r="C94" s="9"/>
      <c r="D94" s="64" t="str">
        <f>C21</f>
        <v>м.кв</v>
      </c>
      <c r="E94" s="64"/>
      <c r="F94" s="66"/>
      <c r="G94" s="6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8">
        <v>14</v>
      </c>
      <c r="B95" s="39" t="str">
        <f>B22</f>
        <v>Амбаар-холимог</v>
      </c>
      <c r="C95" s="9"/>
      <c r="D95" s="64" t="str">
        <f>C22</f>
        <v>м.кв</v>
      </c>
      <c r="E95" s="64"/>
      <c r="F95" s="66"/>
      <c r="G95" s="6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8">
        <v>15</v>
      </c>
      <c r="B96" s="39" t="str">
        <f>B23</f>
        <v>Жорлон-энгийн 1 хүн</v>
      </c>
      <c r="C96" s="9"/>
      <c r="D96" s="64" t="str">
        <f>C23</f>
        <v>ш</v>
      </c>
      <c r="E96" s="64"/>
      <c r="F96" s="66"/>
      <c r="G96" s="6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8">
        <v>16</v>
      </c>
      <c r="B97" s="39" t="str">
        <f>B24</f>
        <v>Жорлон-энгийн 2 хүн</v>
      </c>
      <c r="C97" s="9"/>
      <c r="D97" s="64" t="str">
        <f>C24</f>
        <v>ш</v>
      </c>
      <c r="E97" s="64"/>
      <c r="F97" s="66"/>
      <c r="G97" s="6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8">
        <v>17</v>
      </c>
      <c r="B98" s="39" t="str">
        <f>B25</f>
        <v>Жорлон-кольцоотой</v>
      </c>
      <c r="C98" s="9"/>
      <c r="D98" s="64" t="str">
        <f>C25</f>
        <v>ш</v>
      </c>
      <c r="E98" s="64"/>
      <c r="F98" s="66"/>
      <c r="G98" s="6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">
        <v>18</v>
      </c>
      <c r="B99" s="39" t="str">
        <f>B26</f>
        <v>Цемент зам талбай</v>
      </c>
      <c r="C99" s="9"/>
      <c r="D99" s="64" t="str">
        <f>C26</f>
        <v>м.кв</v>
      </c>
      <c r="E99" s="64"/>
      <c r="F99" s="66"/>
      <c r="G99" s="6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8">
        <v>19</v>
      </c>
      <c r="B100" s="39" t="str">
        <f>B27</f>
        <v>Цутгамал бетон шат</v>
      </c>
      <c r="C100" s="9"/>
      <c r="D100" s="64" t="str">
        <f>C27</f>
        <v>м.кв</v>
      </c>
      <c r="E100" s="64"/>
      <c r="F100" s="66"/>
      <c r="G100" s="6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8">
        <v>20</v>
      </c>
      <c r="B101" s="39" t="str">
        <f>B28</f>
        <v>Хүлэмж</v>
      </c>
      <c r="C101" s="9"/>
      <c r="D101" s="64" t="str">
        <f>C28</f>
        <v>м.кв</v>
      </c>
      <c r="E101" s="64"/>
      <c r="F101" s="66"/>
      <c r="G101" s="6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8">
        <v>21</v>
      </c>
      <c r="B102" s="40" t="str">
        <f>B29</f>
        <v>Хашааны хаалга-энгийн дэлгэдэг төмөр</v>
      </c>
      <c r="C102" s="9"/>
      <c r="D102" s="64" t="str">
        <f>C29</f>
        <v>ш</v>
      </c>
      <c r="E102" s="64"/>
      <c r="F102" s="66"/>
      <c r="G102" s="6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38">
        <v>22</v>
      </c>
      <c r="B103" s="40" t="str">
        <f>B30</f>
        <v>Хашааны хаалга-энгийн гүйдэг төмөр</v>
      </c>
      <c r="C103" s="9"/>
      <c r="D103" s="64" t="str">
        <f>C30</f>
        <v>ш</v>
      </c>
      <c r="E103" s="64"/>
      <c r="F103" s="66"/>
      <c r="G103" s="6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38">
        <v>23</v>
      </c>
      <c r="B104" s="40" t="str">
        <f>B31</f>
        <v>Хашааны хаалга-гоёлын гүйдэг төмөр</v>
      </c>
      <c r="C104" s="9"/>
      <c r="D104" s="64" t="str">
        <f>C31</f>
        <v>ш</v>
      </c>
      <c r="E104" s="64"/>
      <c r="F104" s="66"/>
      <c r="G104" s="6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38">
        <v>24</v>
      </c>
      <c r="B105" s="39" t="str">
        <f>B32</f>
        <v>Хашлага-модон</v>
      </c>
      <c r="C105" s="9"/>
      <c r="D105" s="64" t="str">
        <f>C32</f>
        <v>м.кв</v>
      </c>
      <c r="E105" s="64"/>
      <c r="F105" s="66"/>
      <c r="G105" s="6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38">
        <v>25</v>
      </c>
      <c r="B106" s="39" t="str">
        <f>B33</f>
        <v>Хашлага-төмөр</v>
      </c>
      <c r="C106" s="9"/>
      <c r="D106" s="64" t="str">
        <f>C33</f>
        <v>м.кв</v>
      </c>
      <c r="E106" s="64"/>
      <c r="F106" s="66"/>
      <c r="G106" s="6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8">
        <v>26</v>
      </c>
      <c r="B107" s="39" t="str">
        <f>B34</f>
        <v>Мод-навчит</v>
      </c>
      <c r="C107" s="9"/>
      <c r="D107" s="64" t="str">
        <f>C34</f>
        <v>ш</v>
      </c>
      <c r="E107" s="64"/>
      <c r="F107" s="66"/>
      <c r="G107" s="6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8">
        <v>27</v>
      </c>
      <c r="B108" s="39" t="str">
        <f>B35</f>
        <v>Мод-шилмүүст</v>
      </c>
      <c r="C108" s="9"/>
      <c r="D108" s="64" t="str">
        <f>C35</f>
        <v>ш</v>
      </c>
      <c r="E108" s="64"/>
      <c r="F108" s="66"/>
      <c r="G108" s="6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8">
        <v>28</v>
      </c>
      <c r="B109" s="39" t="str">
        <f>B36</f>
        <v>Мод-бут сөөг</v>
      </c>
      <c r="C109" s="9"/>
      <c r="D109" s="64" t="str">
        <f>C36</f>
        <v>ш</v>
      </c>
      <c r="E109" s="64"/>
      <c r="F109" s="66"/>
      <c r="G109" s="6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">
        <v>29</v>
      </c>
      <c r="B110" s="39" t="str">
        <f>B37</f>
        <v>Шигтгэсэн явган зам</v>
      </c>
      <c r="C110" s="9"/>
      <c r="D110" s="64" t="str">
        <f>C37</f>
        <v>м.кв</v>
      </c>
      <c r="E110" s="64"/>
      <c r="F110" s="66"/>
      <c r="G110" s="6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94"/>
      <c r="B111" s="95" t="s">
        <v>41</v>
      </c>
      <c r="C111" s="22"/>
      <c r="D111" s="89"/>
      <c r="E111" s="96"/>
      <c r="F111" s="97"/>
      <c r="G111" s="9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137" t="s">
        <v>117</v>
      </c>
      <c r="B112" s="99"/>
      <c r="C112" s="99"/>
      <c r="D112" s="99"/>
      <c r="E112" s="99"/>
      <c r="F112" s="99"/>
      <c r="G112" s="9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3" t="s">
        <v>124</v>
      </c>
      <c r="B113" s="23"/>
      <c r="C113" s="23"/>
      <c r="D113" s="23"/>
      <c r="E113" s="23"/>
      <c r="F113" s="23"/>
      <c r="G113" s="72" t="s">
        <v>104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x14ac:dyDescent="0.25">
      <c r="A114" s="133" t="s">
        <v>1</v>
      </c>
      <c r="B114" s="134" t="s">
        <v>86</v>
      </c>
      <c r="C114" s="135"/>
      <c r="D114" s="136" t="s">
        <v>3</v>
      </c>
      <c r="E114" s="136" t="s">
        <v>87</v>
      </c>
      <c r="F114" s="136" t="s">
        <v>88</v>
      </c>
      <c r="G114" s="133" t="s">
        <v>85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88">
        <v>1</v>
      </c>
      <c r="B115" s="160" t="s">
        <v>89</v>
      </c>
      <c r="C115" s="161"/>
      <c r="D115" s="127" t="s">
        <v>90</v>
      </c>
      <c r="E115" s="127">
        <v>3</v>
      </c>
      <c r="F115" s="93"/>
      <c r="G115" s="9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20" t="s">
        <v>117</v>
      </c>
      <c r="B116" s="156"/>
      <c r="C116" s="156"/>
      <c r="D116" s="156"/>
      <c r="E116" s="156"/>
      <c r="F116" s="156"/>
      <c r="G116" s="10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6" t="s">
        <v>125</v>
      </c>
      <c r="B117" s="16"/>
      <c r="C117" s="16"/>
      <c r="D117" s="16"/>
      <c r="E117" s="16"/>
      <c r="F117" s="16"/>
      <c r="G117" s="132" t="s">
        <v>91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x14ac:dyDescent="0.25">
      <c r="A118" s="128" t="s">
        <v>1</v>
      </c>
      <c r="B118" s="129" t="s">
        <v>86</v>
      </c>
      <c r="C118" s="130"/>
      <c r="D118" s="131" t="s">
        <v>3</v>
      </c>
      <c r="E118" s="131" t="s">
        <v>87</v>
      </c>
      <c r="F118" s="131" t="s">
        <v>88</v>
      </c>
      <c r="G118" s="128" t="s">
        <v>85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67">
        <v>1</v>
      </c>
      <c r="B119" s="51" t="s">
        <v>106</v>
      </c>
      <c r="C119" s="104"/>
      <c r="D119" s="107" t="s">
        <v>56</v>
      </c>
      <c r="E119" s="69"/>
      <c r="F119" s="103"/>
      <c r="G119" s="7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44.25" customHeight="1" x14ac:dyDescent="0.25">
      <c r="A120" s="31">
        <v>2</v>
      </c>
      <c r="B120" s="50" t="s">
        <v>107</v>
      </c>
      <c r="C120" s="50"/>
      <c r="D120" s="30" t="s">
        <v>56</v>
      </c>
      <c r="E120" s="30"/>
      <c r="F120" s="30"/>
      <c r="G120" s="3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 x14ac:dyDescent="0.25">
      <c r="A121" s="67">
        <v>3</v>
      </c>
      <c r="B121" s="50" t="s">
        <v>108</v>
      </c>
      <c r="C121" s="50"/>
      <c r="D121" s="30" t="s">
        <v>111</v>
      </c>
      <c r="E121" s="30"/>
      <c r="F121" s="30"/>
      <c r="G121" s="3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31">
        <v>4</v>
      </c>
      <c r="B122" s="50" t="s">
        <v>109</v>
      </c>
      <c r="C122" s="50"/>
      <c r="D122" s="30" t="s">
        <v>112</v>
      </c>
      <c r="E122" s="30"/>
      <c r="F122" s="30"/>
      <c r="G122" s="3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67">
        <v>5</v>
      </c>
      <c r="B123" s="105" t="s">
        <v>105</v>
      </c>
      <c r="C123" s="106"/>
      <c r="D123" s="30" t="s">
        <v>112</v>
      </c>
      <c r="E123" s="30"/>
      <c r="F123" s="30"/>
      <c r="G123" s="3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31">
        <v>6</v>
      </c>
      <c r="B124" s="105" t="s">
        <v>110</v>
      </c>
      <c r="C124" s="106"/>
      <c r="D124" s="30" t="s">
        <v>112</v>
      </c>
      <c r="E124" s="30"/>
      <c r="F124" s="30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67">
        <v>7</v>
      </c>
      <c r="B125" s="124" t="s">
        <v>80</v>
      </c>
      <c r="C125" s="125"/>
      <c r="E125" s="30"/>
      <c r="F125" s="30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78" t="s">
        <v>117</v>
      </c>
      <c r="B126" s="61"/>
      <c r="C126" s="61"/>
      <c r="D126" s="61"/>
      <c r="E126" s="61"/>
      <c r="F126" s="61"/>
      <c r="G126" s="6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6" t="s">
        <v>126</v>
      </c>
      <c r="B127" s="16"/>
      <c r="C127" s="16"/>
      <c r="D127" s="16"/>
      <c r="E127" s="16"/>
      <c r="F127" s="16"/>
      <c r="G127" s="132" t="s">
        <v>122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x14ac:dyDescent="0.25">
      <c r="A128" s="128" t="s">
        <v>1</v>
      </c>
      <c r="B128" s="129" t="s">
        <v>86</v>
      </c>
      <c r="C128" s="130"/>
      <c r="D128" s="131" t="s">
        <v>3</v>
      </c>
      <c r="E128" s="131" t="s">
        <v>87</v>
      </c>
      <c r="F128" s="131" t="s">
        <v>88</v>
      </c>
      <c r="G128" s="128" t="s">
        <v>85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26">
        <v>1</v>
      </c>
      <c r="B129" s="98" t="s">
        <v>121</v>
      </c>
      <c r="C129" s="98"/>
      <c r="D129" s="67" t="s">
        <v>90</v>
      </c>
      <c r="E129" s="67">
        <v>3</v>
      </c>
      <c r="F129" s="126"/>
      <c r="G129" s="12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21" t="s">
        <v>117</v>
      </c>
      <c r="B130" s="157"/>
      <c r="C130" s="157"/>
      <c r="D130" s="157"/>
      <c r="E130" s="157"/>
      <c r="F130" s="157"/>
      <c r="G130" s="15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3" t="s">
        <v>127</v>
      </c>
      <c r="B131" s="23"/>
      <c r="C131" s="23"/>
      <c r="D131" s="23"/>
      <c r="E131" s="23"/>
      <c r="F131" s="23"/>
      <c r="G131" s="72" t="s">
        <v>91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x14ac:dyDescent="0.25">
      <c r="A132" s="139" t="s">
        <v>1</v>
      </c>
      <c r="B132" s="140" t="s">
        <v>92</v>
      </c>
      <c r="C132" s="141"/>
      <c r="D132" s="141"/>
      <c r="E132" s="142"/>
      <c r="F132" s="53" t="s">
        <v>4</v>
      </c>
      <c r="G132" s="53" t="s">
        <v>93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67">
        <v>1</v>
      </c>
      <c r="B133" s="68" t="s">
        <v>59</v>
      </c>
      <c r="C133" s="33"/>
      <c r="D133" s="33"/>
      <c r="E133" s="33"/>
      <c r="F133" s="70"/>
      <c r="G133" s="7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67">
        <v>2</v>
      </c>
      <c r="B134" s="68" t="s">
        <v>94</v>
      </c>
      <c r="C134" s="33"/>
      <c r="D134" s="33"/>
      <c r="E134" s="33"/>
      <c r="F134" s="70"/>
      <c r="G134" s="7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67">
        <v>3</v>
      </c>
      <c r="B135" s="68" t="s">
        <v>95</v>
      </c>
      <c r="C135" s="33"/>
      <c r="D135" s="33"/>
      <c r="E135" s="33"/>
      <c r="F135" s="70"/>
      <c r="G135" s="7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67">
        <v>4</v>
      </c>
      <c r="B136" s="68" t="s">
        <v>96</v>
      </c>
      <c r="C136" s="33"/>
      <c r="D136" s="33"/>
      <c r="E136" s="33"/>
      <c r="F136" s="70"/>
      <c r="G136" s="7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67">
        <v>5</v>
      </c>
      <c r="B137" s="68" t="s">
        <v>97</v>
      </c>
      <c r="C137" s="33"/>
      <c r="D137" s="33"/>
      <c r="E137" s="33"/>
      <c r="F137" s="69"/>
      <c r="G137" s="7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67">
        <v>6</v>
      </c>
      <c r="B138" s="68" t="s">
        <v>89</v>
      </c>
      <c r="C138" s="33"/>
      <c r="D138" s="33"/>
      <c r="E138" s="33"/>
      <c r="F138" s="69"/>
      <c r="G138" s="7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43"/>
      <c r="B139" s="144" t="s">
        <v>41</v>
      </c>
      <c r="C139" s="145"/>
      <c r="D139" s="145"/>
      <c r="E139" s="145"/>
      <c r="F139" s="146"/>
      <c r="G139" s="14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48" t="s">
        <v>129</v>
      </c>
      <c r="B140" s="148"/>
      <c r="C140" s="148"/>
      <c r="D140" s="148"/>
      <c r="E140" s="148"/>
      <c r="F140" s="148"/>
      <c r="G140" s="14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5.75" customHeight="1" x14ac:dyDescent="0.25">
      <c r="A141" s="79" t="s">
        <v>128</v>
      </c>
      <c r="B141" s="80"/>
      <c r="C141" s="80"/>
      <c r="D141" s="80"/>
      <c r="E141" s="80"/>
      <c r="F141" s="80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62" t="s">
        <v>98</v>
      </c>
      <c r="B142" s="163"/>
      <c r="C142" s="163"/>
      <c r="D142" s="163"/>
      <c r="E142" s="163"/>
      <c r="F142" s="163"/>
      <c r="G142" s="16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64" t="s">
        <v>99</v>
      </c>
      <c r="B143" s="138"/>
      <c r="C143" s="138"/>
      <c r="D143" s="138"/>
      <c r="E143" s="138"/>
      <c r="F143" s="138"/>
      <c r="G143" s="13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37" t="s">
        <v>117</v>
      </c>
      <c r="B144" s="137"/>
      <c r="C144" s="137"/>
      <c r="D144" s="137"/>
      <c r="E144" s="137"/>
      <c r="F144" s="137"/>
      <c r="G144" s="13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</sheetData>
  <mergeCells count="160">
    <mergeCell ref="B123:C123"/>
    <mergeCell ref="B128:C128"/>
    <mergeCell ref="B129:C129"/>
    <mergeCell ref="A130:G130"/>
    <mergeCell ref="A127:F127"/>
    <mergeCell ref="A140:G140"/>
    <mergeCell ref="B124:C124"/>
    <mergeCell ref="B125:C125"/>
    <mergeCell ref="A126:G126"/>
    <mergeCell ref="A67:F67"/>
    <mergeCell ref="B75:C75"/>
    <mergeCell ref="B76:C76"/>
    <mergeCell ref="A53:G53"/>
    <mergeCell ref="A80:F80"/>
    <mergeCell ref="A116:G116"/>
    <mergeCell ref="A131:F131"/>
    <mergeCell ref="A117:F117"/>
    <mergeCell ref="A113:F113"/>
    <mergeCell ref="B118:C118"/>
    <mergeCell ref="B119:C119"/>
    <mergeCell ref="A3:F3"/>
    <mergeCell ref="E22:G22"/>
    <mergeCell ref="B139:E139"/>
    <mergeCell ref="A141:G141"/>
    <mergeCell ref="A142:G142"/>
    <mergeCell ref="A143:G143"/>
    <mergeCell ref="A144:G144"/>
    <mergeCell ref="B133:E133"/>
    <mergeCell ref="B134:E134"/>
    <mergeCell ref="B135:E135"/>
    <mergeCell ref="B136:E136"/>
    <mergeCell ref="B137:E137"/>
    <mergeCell ref="B138:E138"/>
    <mergeCell ref="B115:C115"/>
    <mergeCell ref="B132:E132"/>
    <mergeCell ref="B120:C120"/>
    <mergeCell ref="B121:C121"/>
    <mergeCell ref="B122:C122"/>
    <mergeCell ref="B111:C111"/>
    <mergeCell ref="A112:G112"/>
    <mergeCell ref="B114:C114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0:C70"/>
    <mergeCell ref="B71:B74"/>
    <mergeCell ref="B78:C78"/>
    <mergeCell ref="A79:G79"/>
    <mergeCell ref="B77:C77"/>
    <mergeCell ref="B69:C69"/>
    <mergeCell ref="C65:D65"/>
    <mergeCell ref="E65:F65"/>
    <mergeCell ref="C66:D66"/>
    <mergeCell ref="E66:F66"/>
    <mergeCell ref="C62:D62"/>
    <mergeCell ref="E62:F62"/>
    <mergeCell ref="C63:D63"/>
    <mergeCell ref="E63:F63"/>
    <mergeCell ref="C64:D64"/>
    <mergeCell ref="E64:F64"/>
    <mergeCell ref="C59:D59"/>
    <mergeCell ref="E59:F59"/>
    <mergeCell ref="C60:D60"/>
    <mergeCell ref="E60:F60"/>
    <mergeCell ref="C61:D61"/>
    <mergeCell ref="E61:F61"/>
    <mergeCell ref="C56:D56"/>
    <mergeCell ref="E56:F56"/>
    <mergeCell ref="C57:D57"/>
    <mergeCell ref="E57:F57"/>
    <mergeCell ref="C58:D58"/>
    <mergeCell ref="E58:F58"/>
    <mergeCell ref="A54:F54"/>
    <mergeCell ref="A55:G55"/>
    <mergeCell ref="B49:E49"/>
    <mergeCell ref="B50:E50"/>
    <mergeCell ref="B51:E51"/>
    <mergeCell ref="B52:E52"/>
    <mergeCell ref="A48:F48"/>
    <mergeCell ref="B47:D47"/>
    <mergeCell ref="E47:G47"/>
    <mergeCell ref="B43:D43"/>
    <mergeCell ref="E43:G43"/>
    <mergeCell ref="B44:D44"/>
    <mergeCell ref="E44:G44"/>
    <mergeCell ref="E45:G45"/>
    <mergeCell ref="B46:D46"/>
    <mergeCell ref="E46:G46"/>
    <mergeCell ref="B45:D45"/>
    <mergeCell ref="B40:D40"/>
    <mergeCell ref="E40:G40"/>
    <mergeCell ref="B41:D41"/>
    <mergeCell ref="E41:G41"/>
    <mergeCell ref="B42:D42"/>
    <mergeCell ref="E42:G42"/>
    <mergeCell ref="B39:D39"/>
    <mergeCell ref="E39:G39"/>
    <mergeCell ref="A38:F38"/>
    <mergeCell ref="E33:G33"/>
    <mergeCell ref="E34:G34"/>
    <mergeCell ref="E35:G35"/>
    <mergeCell ref="E36:G36"/>
    <mergeCell ref="E37:G37"/>
    <mergeCell ref="E27:G27"/>
    <mergeCell ref="E28:G28"/>
    <mergeCell ref="E29:G29"/>
    <mergeCell ref="E30:G30"/>
    <mergeCell ref="E31:G31"/>
    <mergeCell ref="E32:G32"/>
    <mergeCell ref="E20:G20"/>
    <mergeCell ref="E21:G21"/>
    <mergeCell ref="E23:G23"/>
    <mergeCell ref="E24:G24"/>
    <mergeCell ref="E25:G25"/>
    <mergeCell ref="E26:G26"/>
    <mergeCell ref="E14:G14"/>
    <mergeCell ref="E15:G15"/>
    <mergeCell ref="E16:G16"/>
    <mergeCell ref="E17:G17"/>
    <mergeCell ref="E18:G18"/>
    <mergeCell ref="E19:G19"/>
    <mergeCell ref="E8:G8"/>
    <mergeCell ref="E9:G9"/>
    <mergeCell ref="E10:G10"/>
    <mergeCell ref="E11:G11"/>
    <mergeCell ref="E12:G12"/>
    <mergeCell ref="E13:G13"/>
    <mergeCell ref="E4:G4"/>
    <mergeCell ref="E5:G5"/>
    <mergeCell ref="E6:G6"/>
    <mergeCell ref="E7:G7"/>
    <mergeCell ref="A1:G1"/>
    <mergeCell ref="A2:G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NGA0106</dc:creator>
  <cp:lastModifiedBy>NGA0106</cp:lastModifiedBy>
  <dcterms:created xsi:type="dcterms:W3CDTF">2026-09-18T09:12:19Z</dcterms:created>
  <dcterms:modified xsi:type="dcterms:W3CDTF">2026-09-18T11:46:07Z</dcterms:modified>
</cp:coreProperties>
</file>
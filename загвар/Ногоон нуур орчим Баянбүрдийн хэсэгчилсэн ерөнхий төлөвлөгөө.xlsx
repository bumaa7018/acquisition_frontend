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d\"/>
    </mc:Choice>
  </mc:AlternateContent>
  <xr:revisionPtr revIDLastSave="0" documentId="8_{09C39333-A284-4E20-941E-6BA2F6C9DFDB}" xr6:coauthVersionLast="37" xr6:coauthVersionMax="37" xr10:uidLastSave="{00000000-0000-0000-0000-000000000000}"/>
  <bookViews>
    <workbookView xWindow="0" yWindow="0" windowWidth="28800" windowHeight="11625" xr2:uid="{1241450E-F83E-4CA2-BF4E-A95E303B559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9" i="1" l="1"/>
  <c r="R69" i="1"/>
  <c r="S68" i="1"/>
  <c r="R68" i="1"/>
  <c r="P68" i="1"/>
  <c r="O68" i="1"/>
  <c r="L68" i="1"/>
  <c r="T61" i="1"/>
  <c r="T60" i="1"/>
  <c r="T59" i="1"/>
  <c r="T58" i="1"/>
  <c r="T57" i="1"/>
  <c r="T56" i="1"/>
  <c r="T55" i="1"/>
  <c r="T54" i="1"/>
  <c r="T53" i="1"/>
  <c r="T52" i="1"/>
  <c r="T51" i="1"/>
  <c r="T68" i="1" s="1"/>
  <c r="T50" i="1"/>
  <c r="T49" i="1"/>
  <c r="T48" i="1"/>
  <c r="S47" i="1"/>
  <c r="R47" i="1"/>
  <c r="P47" i="1"/>
  <c r="P69" i="1" s="1"/>
  <c r="O47" i="1"/>
  <c r="O69" i="1" s="1"/>
  <c r="L47" i="1"/>
  <c r="L69" i="1" s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47" i="1" s="1"/>
  <c r="T69" i="1" s="1"/>
</calcChain>
</file>

<file path=xl/sharedStrings.xml><?xml version="1.0" encoding="utf-8"?>
<sst xmlns="http://schemas.openxmlformats.org/spreadsheetml/2006/main" count="1058" uniqueCount="458">
  <si>
    <t>№</t>
  </si>
  <si>
    <t>Бүтээн байгуулалтын төрөл</t>
  </si>
  <si>
    <t xml:space="preserve">Бүтээн байгуулалтын ажлын нэр </t>
  </si>
  <si>
    <t>Үндэслэл</t>
  </si>
  <si>
    <t xml:space="preserve">Нөхөх олговор олгосон  НЗД-ын захирамжийн огноо дугаар </t>
  </si>
  <si>
    <t xml:space="preserve">Газар өмчлөгч, эзэмшигчийн  </t>
  </si>
  <si>
    <t>Хаяг</t>
  </si>
  <si>
    <t>Нэгж талбарын дугаар</t>
  </si>
  <si>
    <t>Үндсэн талбайн хэмжээ /м2/</t>
  </si>
  <si>
    <t>Эдэлбэрийн хэлбэр</t>
  </si>
  <si>
    <t>Нөлөөлөлд өртсөн газрын үнэлгээ</t>
  </si>
  <si>
    <t>Хөрөнгийн нөхөх олговрын хэмжээ, үнэ /төгрөг/</t>
  </si>
  <si>
    <t>Нийт нөхөх олговор /төгрөг/</t>
  </si>
  <si>
    <t xml:space="preserve">Нөхөх олговрын хэлбэр </t>
  </si>
  <si>
    <t xml:space="preserve">Мэдээллийн санд өөрчлөлт орсон  эсхүл устгагдсан  эсэх </t>
  </si>
  <si>
    <t xml:space="preserve">НИТХ тогтоолын дугаар </t>
  </si>
  <si>
    <t>Бүлэг жагсаалын дугаар</t>
  </si>
  <si>
    <t>Хөрөнгийн эх үүсвэр</t>
  </si>
  <si>
    <t xml:space="preserve">Овог нэр </t>
  </si>
  <si>
    <t>Регистрийн дугаар</t>
  </si>
  <si>
    <t>Гэрчилгээний дугаар</t>
  </si>
  <si>
    <t>Хэмжээ /м2/</t>
  </si>
  <si>
    <t>Үнэ /төгрөг/</t>
  </si>
  <si>
    <t>Ү- дугаар</t>
  </si>
  <si>
    <t>Эд хөрөнгө</t>
  </si>
  <si>
    <t>хэсэгчилсэн төлөвлөгөө</t>
  </si>
  <si>
    <t>Баянбүрд орчмын хэсэгчилсэн ерөнхий төлөвлөгөөний хэрэгжилт</t>
  </si>
  <si>
    <t>2024.12.04 24/26, 2025.07.09-25/107</t>
  </si>
  <si>
    <t>3.1.18, 3.1.3</t>
  </si>
  <si>
    <t>нийслэл</t>
  </si>
  <si>
    <t>2025.01.24-А70</t>
  </si>
  <si>
    <t xml:space="preserve">Сүрэнхорлоогийн Саранчимэг </t>
  </si>
  <si>
    <t>/ХЛ56072067/</t>
  </si>
  <si>
    <t>Сүхбаатар дүүргийн 9 дүгээр хороо Чингэлтэйн 18 дугаар гудамжны 6 тоот</t>
  </si>
  <si>
    <t>1461502288</t>
  </si>
  <si>
    <t>өмчлөх</t>
  </si>
  <si>
    <t>Г-2203001738</t>
  </si>
  <si>
    <t>Ү-2203012829</t>
  </si>
  <si>
    <t>Мөнгөн хэлбэр</t>
  </si>
  <si>
    <t>2024.12.04 24/27</t>
  </si>
  <si>
    <t xml:space="preserve">Сүрэнхорлоогийн Саранзул </t>
  </si>
  <si>
    <t>/ХЛ76112867/</t>
  </si>
  <si>
    <t>Сүхбаатар дүүргийн 9 дүгээр хороо Чингэлтэйн 19 дүгээр гудамжны 4 тоот</t>
  </si>
  <si>
    <t>1461502290</t>
  </si>
  <si>
    <t>Г-2203009713</t>
  </si>
  <si>
    <t>2024.12.04 24/28</t>
  </si>
  <si>
    <t xml:space="preserve">Батсуурийн Батжаргал </t>
  </si>
  <si>
    <t>ТГ76032063</t>
  </si>
  <si>
    <t>СБД 9-р хороо, Чингэлтэйн 18-8 тоот</t>
  </si>
  <si>
    <t>1461502286</t>
  </si>
  <si>
    <t>Өмчлөх</t>
  </si>
  <si>
    <t>Г-2203000314</t>
  </si>
  <si>
    <t>Ү-2203016635</t>
  </si>
  <si>
    <t>2024.12.04 24/29</t>
  </si>
  <si>
    <t xml:space="preserve">Цэрэндорж Отгонбор </t>
  </si>
  <si>
    <t>УХ61091611</t>
  </si>
  <si>
    <t>СБД 9-р хороо, Чингэлтэйн 18-7 тоот</t>
  </si>
  <si>
    <t>1461502281</t>
  </si>
  <si>
    <t>Г-2203000043</t>
  </si>
  <si>
    <t>Ү-2203014358</t>
  </si>
  <si>
    <t>2024.12.04 24/30</t>
  </si>
  <si>
    <t>2025.04.24-А539</t>
  </si>
  <si>
    <t xml:space="preserve">Наранхүү Зэгцбаяр </t>
  </si>
  <si>
    <t>УЦ04241610</t>
  </si>
  <si>
    <r>
      <rPr>
        <sz val="9"/>
        <color theme="1"/>
        <rFont val="Arial"/>
        <family val="2"/>
      </rPr>
      <t>СБД-ийн 9-р хороо Алтайн 7-р гудамж, 19 тоот</t>
    </r>
  </si>
  <si>
    <r>
      <rPr>
        <sz val="9"/>
        <color theme="1"/>
        <rFont val="Arial"/>
        <family val="2"/>
      </rPr>
      <t>1461502401</t>
    </r>
  </si>
  <si>
    <r>
      <rPr>
        <sz val="9"/>
        <color theme="1"/>
        <rFont val="Arial"/>
        <family val="2"/>
      </rPr>
      <t>өмчлөх</t>
    </r>
  </si>
  <si>
    <r>
      <rPr>
        <sz val="9"/>
        <color theme="1"/>
        <rFont val="Arial"/>
        <family val="2"/>
      </rPr>
      <t>Г-2203014456</t>
    </r>
  </si>
  <si>
    <t>2024.12.04 24/31</t>
  </si>
  <si>
    <t xml:space="preserve">Таванцэрэг Энхболд </t>
  </si>
  <si>
    <t>ЧМ83121410</t>
  </si>
  <si>
    <r>
      <rPr>
        <sz val="9"/>
        <color theme="1"/>
        <rFont val="Arial"/>
        <family val="2"/>
      </rPr>
      <t>СБД-ийн 9-р хороо Чингэлтэйн 18-р гудамж, 7а тоот</t>
    </r>
  </si>
  <si>
    <r>
      <rPr>
        <sz val="9"/>
        <color theme="1"/>
        <rFont val="Arial"/>
        <family val="2"/>
      </rPr>
      <t>1461502642</t>
    </r>
  </si>
  <si>
    <r>
      <rPr>
        <sz val="9"/>
        <color theme="1"/>
        <rFont val="Arial"/>
        <family val="2"/>
      </rPr>
      <t>Г-2203014455</t>
    </r>
  </si>
  <si>
    <t>2024.12.04 24/32</t>
  </si>
  <si>
    <t xml:space="preserve">Иванжалба Энхболд </t>
  </si>
  <si>
    <t>МЮ83011175</t>
  </si>
  <si>
    <r>
      <rPr>
        <sz val="9"/>
        <color theme="1"/>
        <rFont val="Arial"/>
        <family val="2"/>
      </rPr>
      <t>СБД-ийн 9-р хороо Чингэлтэйн 19-р гудамж, 20 тоот</t>
    </r>
  </si>
  <si>
    <r>
      <rPr>
        <sz val="9"/>
        <color theme="1"/>
        <rFont val="Arial"/>
        <family val="2"/>
      </rPr>
      <t>1461502267</t>
    </r>
  </si>
  <si>
    <r>
      <rPr>
        <sz val="9"/>
        <color theme="1"/>
        <rFont val="Arial"/>
        <family val="2"/>
      </rPr>
      <t>Г-2203014457</t>
    </r>
  </si>
  <si>
    <r>
      <rPr>
        <sz val="9"/>
        <color theme="1"/>
        <rFont val="Arial"/>
        <family val="2"/>
      </rPr>
      <t>Ү-2203043805</t>
    </r>
  </si>
  <si>
    <t>2024.12.04 24/33</t>
  </si>
  <si>
    <t xml:space="preserve">Далхаа Эрдэнэбат </t>
  </si>
  <si>
    <t>М373051979</t>
  </si>
  <si>
    <r>
      <rPr>
        <sz val="9"/>
        <color theme="1"/>
        <rFont val="Arial"/>
        <family val="2"/>
      </rPr>
      <t>СБД-ийн 9-р хороо Чингэлтэйн 18-р гудамж, 86 тоот</t>
    </r>
  </si>
  <si>
    <r>
      <rPr>
        <sz val="9"/>
        <color theme="1"/>
        <rFont val="Arial"/>
        <family val="2"/>
      </rPr>
      <t>1461502548</t>
    </r>
  </si>
  <si>
    <r>
      <rPr>
        <sz val="9"/>
        <color theme="1"/>
        <rFont val="Arial"/>
        <family val="2"/>
      </rPr>
      <t>Г-2203014454</t>
    </r>
  </si>
  <si>
    <t>2024.12.04 24/34</t>
  </si>
  <si>
    <t>2025.05.29-А751</t>
  </si>
  <si>
    <t xml:space="preserve">Чулуунбаатарын Нямцэрэн </t>
  </si>
  <si>
    <t>ШД75091476</t>
  </si>
  <si>
    <t>СБД-ийн 9-р хороо Чингэлтэйн 19-р гудамж, 5 тоот</t>
  </si>
  <si>
    <t>1461502293</t>
  </si>
  <si>
    <t>Г-2203002995</t>
  </si>
  <si>
    <t>Ү-2203010258</t>
  </si>
  <si>
    <t>2024.12.04 24/35</t>
  </si>
  <si>
    <t>2025.07.24-А1010</t>
  </si>
  <si>
    <t>Чойдогсүрэнгийн Энхжаргал Ц375021009</t>
  </si>
  <si>
    <t xml:space="preserve"> Ц375021009</t>
  </si>
  <si>
    <t>СБД-ийн 9-р хороо Чингэлтэйн 18-р гудамж. 435а тоот</t>
  </si>
  <si>
    <t>1461502271</t>
  </si>
  <si>
    <t>Г-2203000098</t>
  </si>
  <si>
    <t>Ү-2203010720</t>
  </si>
  <si>
    <t>2024.12.04 24/36</t>
  </si>
  <si>
    <t>2025.08.19-А1139</t>
  </si>
  <si>
    <t>Шаравсэнгийн Нямболд</t>
  </si>
  <si>
    <t xml:space="preserve"> ЕА85091139</t>
  </si>
  <si>
    <t>Сүхбаатар дүүрэг 9 дүгээр хороо Алтайн 15-р гудамж 4 тоот</t>
  </si>
  <si>
    <t>1461502289</t>
  </si>
  <si>
    <t>эзэмших</t>
  </si>
  <si>
    <t>Э-2203008379</t>
  </si>
  <si>
    <t>2024.12.04 24/37</t>
  </si>
  <si>
    <t xml:space="preserve">Баярсайханы Анхбаяр </t>
  </si>
  <si>
    <t xml:space="preserve"> ЛЮ78011877</t>
  </si>
  <si>
    <t>Сүхбаатар дүүрэг 9 дүгээр хороо Чингэлтэйн 19-р гудамж 29а тоот</t>
  </si>
  <si>
    <t>1461501996</t>
  </si>
  <si>
    <t>Э-2203010476</t>
  </si>
  <si>
    <t>Ү-2203029283</t>
  </si>
  <si>
    <t>2024.12.04 24/38</t>
  </si>
  <si>
    <t xml:space="preserve">Намсрайн Галбадрах </t>
  </si>
  <si>
    <t xml:space="preserve"> АИ73120411</t>
  </si>
  <si>
    <t>Сүхбаатар дүүрэг 9 дүгээр хороо Чингэлтэйн далангийн 21 тоот</t>
  </si>
  <si>
    <t>1461502202</t>
  </si>
  <si>
    <t>Э-2203007476</t>
  </si>
  <si>
    <t>2024.12.04 24/39</t>
  </si>
  <si>
    <t xml:space="preserve">Ганхуягийн Отгонхуяг </t>
  </si>
  <si>
    <t xml:space="preserve"> УХ92030836</t>
  </si>
  <si>
    <t>Сүхбаатар дүүрэг 9 дүгээр хороо Алтайн 23-р гудамж 27 тоот</t>
  </si>
  <si>
    <t>1461502705</t>
  </si>
  <si>
    <t>Э-2203005236</t>
  </si>
  <si>
    <t>2024.12.04 24/40</t>
  </si>
  <si>
    <t xml:space="preserve">Чүлтэмийн Алтантуяа </t>
  </si>
  <si>
    <t xml:space="preserve"> МД71100261</t>
  </si>
  <si>
    <t>Сүхбаатар дүүрэг 9 дүгээр хороо Чингэлтэйн 19-р гудамж 24 тоот</t>
  </si>
  <si>
    <t>1461502142</t>
  </si>
  <si>
    <t>Э-2203007482</t>
  </si>
  <si>
    <t>2024.12.04 24/41</t>
  </si>
  <si>
    <t xml:space="preserve">Жаргалын Мөнгөнзул </t>
  </si>
  <si>
    <t xml:space="preserve"> ВЮ89052823</t>
  </si>
  <si>
    <t>Сүхбаатар дүүрэг 9 дүгээр хороо Алтайн 7-р гудамж 19а тоот</t>
  </si>
  <si>
    <t>1461502704</t>
  </si>
  <si>
    <t>Э-2203005219</t>
  </si>
  <si>
    <t>2024.12.04 24/42</t>
  </si>
  <si>
    <t xml:space="preserve">Өлзийбат Жаргал </t>
  </si>
  <si>
    <t xml:space="preserve"> ХИ69062005</t>
  </si>
  <si>
    <t>Сүхбаатар дүүрэг 9 дүгээр хороо Чингэлтэйн 19-р гудамж 22 тоот</t>
  </si>
  <si>
    <t>1461502181</t>
  </si>
  <si>
    <t>Э-2203007484</t>
  </si>
  <si>
    <t>Ү-2203043702</t>
  </si>
  <si>
    <t>2024.12.04 24/43</t>
  </si>
  <si>
    <t xml:space="preserve">Цоодолын Хүрэлтогоо </t>
  </si>
  <si>
    <t xml:space="preserve"> ЙУ71042512</t>
  </si>
  <si>
    <t>Сүхбаатар дүүрэг 9 дүгээр хороо Чингэлтэйн 19-р гудамж 30 тоот</t>
  </si>
  <si>
    <t>1461501991</t>
  </si>
  <si>
    <t>Э-2203007486</t>
  </si>
  <si>
    <t>2024.12.04 24/44</t>
  </si>
  <si>
    <t xml:space="preserve">Дэмбэрэлийн Төгсбаатар </t>
  </si>
  <si>
    <t xml:space="preserve"> ХИ75060311</t>
  </si>
  <si>
    <t>Сүхбаатар дүүрэг 9 дүгээр хороо Чингэлтэйн 19-р гудамж 26 тоот</t>
  </si>
  <si>
    <t>1461502097</t>
  </si>
  <si>
    <t>Э-2203007548</t>
  </si>
  <si>
    <t>2024.12.04 24/45</t>
  </si>
  <si>
    <t>Ившинноровын Ганболд</t>
  </si>
  <si>
    <t xml:space="preserve"> НЙ65071313</t>
  </si>
  <si>
    <t>Сүхбаатар дүүрэг 9 дүгээр хороо Чингэлтэйн 19-р гудамж 31 тоот</t>
  </si>
  <si>
    <t>1461501962</t>
  </si>
  <si>
    <t>Э-2203007875</t>
  </si>
  <si>
    <t>2024.12.04 24/46</t>
  </si>
  <si>
    <t xml:space="preserve">Жийнаагийн Энхбат </t>
  </si>
  <si>
    <t xml:space="preserve"> НЭ67122593</t>
  </si>
  <si>
    <t>Сүхбаатар дүүрэг 9 дүгээр хороо Чингэлтэйн 19-р гудамж 25 тоот</t>
  </si>
  <si>
    <t>1461502120</t>
  </si>
  <si>
    <t>Э-2203007483</t>
  </si>
  <si>
    <t>Ү-2203044251</t>
  </si>
  <si>
    <t>2024.12.04 24/47</t>
  </si>
  <si>
    <t xml:space="preserve">Цогийн Даваахүү </t>
  </si>
  <si>
    <t xml:space="preserve"> СУ75102967</t>
  </si>
  <si>
    <t>Сүхбаатар дүүрэг 9 дүгээр хороо Чингэлтэйн 19-р гудамж 27 тоот</t>
  </si>
  <si>
    <t>1461502078</t>
  </si>
  <si>
    <t>Э-2203007479</t>
  </si>
  <si>
    <t>••</t>
  </si>
  <si>
    <t>2024.12.04 24/48</t>
  </si>
  <si>
    <t xml:space="preserve">Сүхбаатарын Болдбаатар </t>
  </si>
  <si>
    <t xml:space="preserve"> МИ87052919</t>
  </si>
  <si>
    <t>Сүхбаатар дүүрэг 9 дүгээр хороо Чингэлтэйн 19-р гудамж 23 тоот</t>
  </si>
  <si>
    <t>1461502162</t>
  </si>
  <si>
    <t>Э-2203007481</t>
  </si>
  <si>
    <t>2024.12.04 24/49</t>
  </si>
  <si>
    <t xml:space="preserve">Гомбодоржийн Дамдин </t>
  </si>
  <si>
    <t xml:space="preserve"> УХ83111611</t>
  </si>
  <si>
    <t>Сүхбаатар дүүрэг 9 дүгээр хороо Чингэлтэйн 19-р гудамж 33 тоот</t>
  </si>
  <si>
    <t>1461501901</t>
  </si>
  <si>
    <t>Э-2203007449</t>
  </si>
  <si>
    <t>2024.12.04 24/50</t>
  </si>
  <si>
    <t xml:space="preserve">Төмөрбаатарын Мөнхтуул </t>
  </si>
  <si>
    <t xml:space="preserve"> УХ81040601</t>
  </si>
  <si>
    <t>Сүхбаатар дүүрэг 9 дүгээр хороо Чингэлтэйн 19-р гудамж 19 тоот</t>
  </si>
  <si>
    <t>1461502519</t>
  </si>
  <si>
    <t>Э-2203012094</t>
  </si>
  <si>
    <t>2024.12.04 24/51</t>
  </si>
  <si>
    <t>2025.08.26-А1181</t>
  </si>
  <si>
    <t xml:space="preserve">М-Ойл Групп ХХК </t>
  </si>
  <si>
    <t>СБД-ийн 9-р хороо Э.Галданбошготын гудамж</t>
  </si>
  <si>
    <t>1461502600</t>
  </si>
  <si>
    <t>Э-2203002969</t>
  </si>
  <si>
    <t>2024.12.04 24/52</t>
  </si>
  <si>
    <t xml:space="preserve">Бадамдоржийн Пунсалмаа </t>
  </si>
  <si>
    <t xml:space="preserve"> ХБ77072662</t>
  </si>
  <si>
    <t>СБД-ийн 9-р хороо Чингэлтэйн 19-р гудамж 3 тоот</t>
  </si>
  <si>
    <t>1461502301</t>
  </si>
  <si>
    <t>Г-2203002638</t>
  </si>
  <si>
    <t>Ү-2203017369</t>
  </si>
  <si>
    <t>2024.12.04 24/53</t>
  </si>
  <si>
    <t>2025.10.10-А1431</t>
  </si>
  <si>
    <t xml:space="preserve">Нарангэрэлийн Юмчинсэрчин </t>
  </si>
  <si>
    <t>Х380101275</t>
  </si>
  <si>
    <t>Сүхбаатар дүүрэг 9 дүгээр хороо Алтайн 7-р гудамж 199 тоот</t>
  </si>
  <si>
    <t>1461502758</t>
  </si>
  <si>
    <t>Г-2203003002</t>
  </si>
  <si>
    <t>Ү-2203012586</t>
  </si>
  <si>
    <t>2024.12.04 24/54</t>
  </si>
  <si>
    <t>2025.10.10-А1433</t>
  </si>
  <si>
    <t xml:space="preserve">Даваагийн Ганзориг , Даваагийн Галбадрах </t>
  </si>
  <si>
    <t>Х373012071, ЕП60101111</t>
  </si>
  <si>
    <t>Сүхбаатар дүүрэг 9 дүгээр хороо Алтайн 7-р гудамж 198 тоот</t>
  </si>
  <si>
    <t>1461501994</t>
  </si>
  <si>
    <t>Г-2203002528</t>
  </si>
  <si>
    <t>Ү-2203013150</t>
  </si>
  <si>
    <t>2024.12.04 24/55</t>
  </si>
  <si>
    <t xml:space="preserve">Түмэндэмбэрэлийн Дэлгэрсайхан </t>
  </si>
  <si>
    <t>МБ79022710</t>
  </si>
  <si>
    <t>Сүхбаатар дүүрэг 9 дүгээр хороо Алтайн 7-р гудамж 202 тоот</t>
  </si>
  <si>
    <t xml:space="preserve">Өмчлөх </t>
  </si>
  <si>
    <t>Г-22030023196</t>
  </si>
  <si>
    <t>2024.12.04 24/56</t>
  </si>
  <si>
    <t xml:space="preserve">Одгэрэлийн Эрхэмбаяр </t>
  </si>
  <si>
    <t>ДЮ95101211</t>
  </si>
  <si>
    <t>Сүхбаатар дүүрэг 9 дүгээр хороо Алтайн 7-р гудамж 201 а тоот</t>
  </si>
  <si>
    <t>1461501790 |</t>
  </si>
  <si>
    <t>Г-2203004249</t>
  </si>
  <si>
    <t>2024.12.04 24/57</t>
  </si>
  <si>
    <t>Сүхбаатар дүүрэг 9 дүгээр хороо Алтайн 7-р гудамж 201 тоот</t>
  </si>
  <si>
    <t>1461501822</t>
  </si>
  <si>
    <t>Г-2203001844</t>
  </si>
  <si>
    <t>2024.12.04 24/58</t>
  </si>
  <si>
    <t>2025.10.13-А1435</t>
  </si>
  <si>
    <t xml:space="preserve">Зундуйн Адъяа </t>
  </si>
  <si>
    <t>КГ46091515</t>
  </si>
  <si>
    <t>Сүхбаатар дүүрэг 9 дүгээр хороо Алтайн 7-р гудамж 200 тоот</t>
  </si>
  <si>
    <t>1461501881</t>
  </si>
  <si>
    <t>Г-2203002538</t>
  </si>
  <si>
    <t>2024.12.04 24/59</t>
  </si>
  <si>
    <t>2025.10.28-А1500</t>
  </si>
  <si>
    <t xml:space="preserve">Ишдоржийн Мөнхдорж </t>
  </si>
  <si>
    <t>УК82041818</t>
  </si>
  <si>
    <t>Сүхбаатар дүүрэг 9 дүгээр хороо Алтайн 7-р гудамж 197 тоот</t>
  </si>
  <si>
    <t>1461502038</t>
  </si>
  <si>
    <t>-</t>
  </si>
  <si>
    <t>2024.12.04 24/60</t>
  </si>
  <si>
    <t>Сүхбаатар дүүрэг 9 дүгээр хороо Алтайн 7-р гудамж 193 тоот</t>
  </si>
  <si>
    <t>1461502435</t>
  </si>
  <si>
    <t>2024.12.04 24/61</t>
  </si>
  <si>
    <t>Сүхбаатар дүүрэг 9 дүгээр хороо Аштайн 7-р гудамж 192 тоот</t>
  </si>
  <si>
    <t>1461502208</t>
  </si>
  <si>
    <t>2024.12.04 24/62</t>
  </si>
  <si>
    <t>2025.11.10-А1567</t>
  </si>
  <si>
    <t xml:space="preserve">Дамбийн Энхтүвшин </t>
  </si>
  <si>
    <t>АЭ78080517</t>
  </si>
  <si>
    <t>Сүхбаатар дүүрэг 9 дүгээр хороо Чингэлтэйн 19-р гудамж 40 тоот</t>
  </si>
  <si>
    <t>1461502265</t>
  </si>
  <si>
    <t>2024.12.04 24/63</t>
  </si>
  <si>
    <t>2025.12.11-А1741</t>
  </si>
  <si>
    <t xml:space="preserve">Батгэрэлийн Цогтбаатар </t>
  </si>
  <si>
    <t>ШУ89021313</t>
  </si>
  <si>
    <t>Сүхбаатар дүүрэг 9 дүгээр хороо Чингэлтэйн 19-р гудамжны 34 тоот</t>
  </si>
  <si>
    <t>1461501869</t>
  </si>
  <si>
    <t>Э-2203007477</t>
  </si>
  <si>
    <t>2024.12.04 24/64</t>
  </si>
  <si>
    <t>2025.12.25-А1826</t>
  </si>
  <si>
    <t xml:space="preserve">Пүрэвийн Дуламдорж </t>
  </si>
  <si>
    <t>НЭ79033010</t>
  </si>
  <si>
    <t>Сүхбаатар дүүрэг 9 дүгээр хороо Алтайн 7-р гудамж 186 тоот</t>
  </si>
  <si>
    <t>1461502302</t>
  </si>
  <si>
    <t>Г-2203002086</t>
  </si>
  <si>
    <t>Ү-2203010353</t>
  </si>
  <si>
    <t>2024.12.04 24/65</t>
  </si>
  <si>
    <t>Сүхбаатар дүүрэг 9 дүгээр хороо Алтайн 7-р гудамж 185 тоот</t>
  </si>
  <si>
    <t>Г-2203000109</t>
  </si>
  <si>
    <t>Ү-2203015297</t>
  </si>
  <si>
    <t>2024.12.04 24/66</t>
  </si>
  <si>
    <t>Сүхбаатар дүүрэг 9 дүгээр хороо Алтайн 7-р гудамж 1846 тоот</t>
  </si>
  <si>
    <t>1461502294</t>
  </si>
  <si>
    <t>Г-2203002156</t>
  </si>
  <si>
    <t>2024.12.04 24/67</t>
  </si>
  <si>
    <t xml:space="preserve">Чойжилийн Баярсайхан </t>
  </si>
  <si>
    <t>ЧК66052571</t>
  </si>
  <si>
    <t>Сүхбаатар дүүрэг 9 дүгзэр хороо Алтайн 7-р гудамж 194 тоот</t>
  </si>
  <si>
    <t>1461502145</t>
  </si>
  <si>
    <t>Г2203001190</t>
  </si>
  <si>
    <t>2024.12.04 24/68</t>
  </si>
  <si>
    <t xml:space="preserve">Чойжйлийн Баярсайхан </t>
  </si>
  <si>
    <t>Сүхбаатар дүүрэг 9 дүгээр хороо Алтайн 7-р гудамж 146 тоот</t>
  </si>
  <si>
    <t>1461502279</t>
  </si>
  <si>
    <t>Г-2203000939</t>
  </si>
  <si>
    <t>Ногоон нуур орчим, Баянбүрд орчим ХЕТ</t>
  </si>
  <si>
    <t>2025.12.05 24/134</t>
  </si>
  <si>
    <t>3.4.2</t>
  </si>
  <si>
    <t>2026.04.23-А/608</t>
  </si>
  <si>
    <t>Батсүхийн Наранбаатар ЛМ72102831</t>
  </si>
  <si>
    <t>ЛМ72102831</t>
  </si>
  <si>
    <t>Сүхбаатар дүүрэг 9 дүгээр хороо, Алтайн 7-р гудамжны 18 тоот</t>
  </si>
  <si>
    <t>Эзэмших</t>
  </si>
  <si>
    <t>Э-2203027358</t>
  </si>
  <si>
    <t>Болдбаатарын Төгөлдөр ЗП88070211</t>
  </si>
  <si>
    <t>ЗП88070211</t>
  </si>
  <si>
    <t>Сүхбаатар дүүрэг 9 дүгээр хороо, Чингэлтэйн 19-р гудамжны 28 тоот</t>
  </si>
  <si>
    <t>Э-2203007550</t>
  </si>
  <si>
    <t>Пүрэвсүрэнгийн Мөнхцэцэг ТЗ87021666</t>
  </si>
  <si>
    <t>ТЗ87021666</t>
  </si>
  <si>
    <t>Сүхбаатар дүүрэг 9 дүгээр хороо, Чингэлтэйн 19-р гудамжны 32 тоот</t>
  </si>
  <si>
    <t>Э-2203007485</t>
  </si>
  <si>
    <t>Халзангийн Оюунцэцэг НТ64080229</t>
  </si>
  <si>
    <t>НТ64080229</t>
  </si>
  <si>
    <t>Сүхбаатар дүүрэг 9 дүгээр хороо Чингэлтэйн 19-р гудамж 29б тоот</t>
  </si>
  <si>
    <t>Э-2203007462</t>
  </si>
  <si>
    <t>Чойжингийн Батнасан ХЛ62041874</t>
  </si>
  <si>
    <t>ХЛ62041874</t>
  </si>
  <si>
    <t>Сүхбаатар дүүрэг 9 дүгээр хороо Алтайн 7-р гудамж 19 тоот</t>
  </si>
  <si>
    <t>Э-2203009727</t>
  </si>
  <si>
    <t>Ү-2203056526</t>
  </si>
  <si>
    <t>2026.06.15-А/865</t>
  </si>
  <si>
    <t>Пүрэвийн Шижир ЧМ74040616</t>
  </si>
  <si>
    <t>ЧМ74040616</t>
  </si>
  <si>
    <t>Сүхбаатар дүүрэг 9 дүгээр хороо Алтайн 2-р гудамж 37в тоот</t>
  </si>
  <si>
    <t>Г-2203009885</t>
  </si>
  <si>
    <t>Ү-2203033227</t>
  </si>
  <si>
    <t>Даваасүрэнгийн Амар ЧН74090111</t>
  </si>
  <si>
    <t>ЧН74090111</t>
  </si>
  <si>
    <t>Сүхбаатар дүүрэг 9 дүгээр хороо Алтайн 2-р гудамж 37б тоот</t>
  </si>
  <si>
    <t>Г-2203000080</t>
  </si>
  <si>
    <t>Ү-2203010706</t>
  </si>
  <si>
    <t>Рашбалын Наранбаатар ЧМ74030677</t>
  </si>
  <si>
    <t>ЧМ74030677</t>
  </si>
  <si>
    <t>Сүхбаатар дүүрэг 9 дүгээр хороо Алтайн 7-р гудамж 18б тоот</t>
  </si>
  <si>
    <t>2026.07.22-А/1020</t>
  </si>
  <si>
    <t xml:space="preserve">САнжугарын Ганбат </t>
  </si>
  <si>
    <t>ХН67091379</t>
  </si>
  <si>
    <t>Сүхбаатар дүүрэг 9 дүгээр хороо Алтайн 1-р гудамж 15 тоот</t>
  </si>
  <si>
    <t>Г-2203001658</t>
  </si>
  <si>
    <t>Ү-2203007950</t>
  </si>
  <si>
    <t xml:space="preserve">Дашнямын Энхмаа </t>
  </si>
  <si>
    <t>МА74092200</t>
  </si>
  <si>
    <t>Сүхбаатар дүүрэг 9 дүгээр хороо Алтайн 1-р гудамж 13б тоот</t>
  </si>
  <si>
    <t>Г-2203003775</t>
  </si>
  <si>
    <t>Ү-2203027190</t>
  </si>
  <si>
    <t>2026.09.02-А/1201</t>
  </si>
  <si>
    <t>Дондогдоржийн Сүхболд</t>
  </si>
  <si>
    <t>ЖЮ69010530</t>
  </si>
  <si>
    <t>Сүхбаатар дүүрэг 9 дүгээр хороо Алтайн 7-р гудамж 196 тоот</t>
  </si>
  <si>
    <t>Г-2203003346</t>
  </si>
  <si>
    <t>Авирмэдийн Амар-Отгон</t>
  </si>
  <si>
    <t>ЖЯ80040319</t>
  </si>
  <si>
    <t>Сүхбаатар дүүрэг 9 дүгээр хороо Алтайн 7-р гудамж 195 тоот</t>
  </si>
  <si>
    <t>Г-2203002366</t>
  </si>
  <si>
    <t>төсөлд</t>
  </si>
  <si>
    <t>Клаймакс интернэшнл ХХК</t>
  </si>
  <si>
    <t>Сүхбаатар дүүрэг 9 дүгээр хороо Чингэлтэй 19-р гудамж 18 тоот</t>
  </si>
  <si>
    <t>Э-2203018283</t>
  </si>
  <si>
    <t>үнэлгээ зөвшөөрөөгүй</t>
  </si>
  <si>
    <t>Эрдэнэдагва Соёлхүү</t>
  </si>
  <si>
    <t>ЧЗ74041775</t>
  </si>
  <si>
    <t>Сүхбаатар дүүрэг 9 дүгээр хороо Алтайн 1-р гудамж 14 тоот</t>
  </si>
  <si>
    <t>Г-2203001550</t>
  </si>
  <si>
    <t>Ү-2203017262</t>
  </si>
  <si>
    <t xml:space="preserve">байршил шилжүүлэх </t>
  </si>
  <si>
    <t>Аюуш Энхмаа</t>
  </si>
  <si>
    <t>ЛЙ73091661</t>
  </si>
  <si>
    <t xml:space="preserve">Сүхбаатар дүүрэг 9 дүгээр хороо Алтайн 7-р гудамж </t>
  </si>
  <si>
    <t>Э-2203010953</t>
  </si>
  <si>
    <t>Цогтсэргэлэн Энхчимэг</t>
  </si>
  <si>
    <t>ЛЮ92123000</t>
  </si>
  <si>
    <t>Э-2203001593</t>
  </si>
  <si>
    <t>Эрдэнэцогт Төгөлдөр</t>
  </si>
  <si>
    <t>ЛЙ99042613</t>
  </si>
  <si>
    <t>Э-2203001596</t>
  </si>
  <si>
    <t>Халтар Батмөнх</t>
  </si>
  <si>
    <t>МЮ93051013</t>
  </si>
  <si>
    <t>Э-2203001597</t>
  </si>
  <si>
    <t>Шаргичин Наранбаяр</t>
  </si>
  <si>
    <t>ЛЙ71100965</t>
  </si>
  <si>
    <t>Э-2203005940</t>
  </si>
  <si>
    <t>Эрдэнэцогт Баярмаа</t>
  </si>
  <si>
    <t>ЛЙ93112008</t>
  </si>
  <si>
    <t>Э-2203001592</t>
  </si>
  <si>
    <t>Гөлгөө Чимгээ</t>
  </si>
  <si>
    <t>ЛЮ72022902</t>
  </si>
  <si>
    <t>Э-2203001601</t>
  </si>
  <si>
    <t xml:space="preserve">Гөлгөө Чинбат </t>
  </si>
  <si>
    <t>ЛЮ60021915</t>
  </si>
  <si>
    <t>Э-2203001599</t>
  </si>
  <si>
    <t>ДЗД-ын 2025.10.17-А569 захирамжаар хүчингүй болсон</t>
  </si>
  <si>
    <t>Баттулга Гантулга</t>
  </si>
  <si>
    <t>КЮ02222132</t>
  </si>
  <si>
    <t>Одсэр Мөнхбаяр</t>
  </si>
  <si>
    <t>НФ87022830</t>
  </si>
  <si>
    <t>Ганбат Баттулга</t>
  </si>
  <si>
    <t>ЦА79091314</t>
  </si>
  <si>
    <t>Гантөмөр Хонгор</t>
  </si>
  <si>
    <t>УХ02290153</t>
  </si>
  <si>
    <t>Гантөмөр Гантүшиг</t>
  </si>
  <si>
    <t>УЖ89080417</t>
  </si>
  <si>
    <t>Уртнасан Болор</t>
  </si>
  <si>
    <t>УХ61082606</t>
  </si>
  <si>
    <t>Балбар Дашдондог</t>
  </si>
  <si>
    <t>ЧН72070815</t>
  </si>
  <si>
    <t>Лхамаа Энхтуяа</t>
  </si>
  <si>
    <t>ОО86110221</t>
  </si>
  <si>
    <t>Осор Ганбат</t>
  </si>
  <si>
    <t>УХ56060118</t>
  </si>
  <si>
    <t>Авирмэд Гантөмөр</t>
  </si>
  <si>
    <t>ШЗ53121278</t>
  </si>
  <si>
    <t xml:space="preserve">Сүхбаатар Хонгорбат </t>
  </si>
  <si>
    <t>РЭ83090271</t>
  </si>
  <si>
    <t>Гантөмөр Номингэрэл</t>
  </si>
  <si>
    <t>ШЗ80101965</t>
  </si>
  <si>
    <t>Сандаг Батцэнгэл</t>
  </si>
  <si>
    <t>ХП80082514</t>
  </si>
  <si>
    <t>Нөлөөллөөс гаргах саналтай</t>
  </si>
  <si>
    <t>Сүхбаатар дүүрэг 9 дүгээр хороо Алтайн 7-р гудамж 182 тоот</t>
  </si>
  <si>
    <t>2025.12.05 24/135</t>
  </si>
  <si>
    <t>3.4.3</t>
  </si>
  <si>
    <t>Сүхбаатар дүүрэг 9 дүгээр хороо Алтайн 7-р гудамж 161 тоот</t>
  </si>
  <si>
    <t>2025.12.05 24/136</t>
  </si>
  <si>
    <t>3.4.4</t>
  </si>
  <si>
    <t>Сүхбаатар дүүрэг 9 дүгээр хороо Алтайн 7-р гудамж 162 тоот</t>
  </si>
  <si>
    <t>Г-2203006083</t>
  </si>
  <si>
    <t>мика дүгнэлт 11,275,279,000</t>
  </si>
  <si>
    <t>2025.12.05 24/137</t>
  </si>
  <si>
    <t>3.4.5</t>
  </si>
  <si>
    <t>Сүхбаатар дүүрэг 9 дүгээр хороо Алтайн 7-р гудамж 187 тоот</t>
  </si>
  <si>
    <t>2025.12.05 24/138</t>
  </si>
  <si>
    <t>3.4.6</t>
  </si>
  <si>
    <t>Сүхбаатар дүүрэг 9 дүгээр хороо Алтайн 7-р гудамж 188 тоот</t>
  </si>
  <si>
    <t>2025.12.05 24/139</t>
  </si>
  <si>
    <t>3.4.7</t>
  </si>
  <si>
    <t>Даваадорж Оюунгэрэл</t>
  </si>
  <si>
    <t>ХГ84053001</t>
  </si>
  <si>
    <t>Сүхбаатар дүүрэг 9 дүгээр хороо Алтайн 7-р гудамж 190 тоот</t>
  </si>
  <si>
    <t xml:space="preserve">өмчлөх </t>
  </si>
  <si>
    <t>чөлөөлөхөөс татгалзсан</t>
  </si>
  <si>
    <t>2025.12.05 24/140</t>
  </si>
  <si>
    <t>3.4.8</t>
  </si>
  <si>
    <t>Пандий Болдбаатар</t>
  </si>
  <si>
    <t>ХА74090472</t>
  </si>
  <si>
    <t>Сүхбаатар дүүрэг 9 дүгээр хороо Алтайн 7-р гудамж 189 оот</t>
  </si>
  <si>
    <t>Г-2203001192</t>
  </si>
  <si>
    <t>2025.12.05 24/141</t>
  </si>
  <si>
    <t>3.4.9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</si>
</sst>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vertical="center" wrapText="1"/>
    </xf>
    <xf numFmtId="164" fontId="4" fillId="3" borderId="1" xfId="1" applyNumberFormat="1" applyFont="1" applyFill="1" applyBorder="1" applyAlignment="1">
      <alignment vertical="center" wrapText="1"/>
    </xf>
    <xf numFmtId="164" fontId="2" fillId="3" borderId="6" xfId="1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65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6" borderId="1" xfId="0" applyFont="1" applyFill="1" applyBorder="1" applyAlignment="1"/>
    <xf numFmtId="0" fontId="2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/>
    <xf numFmtId="0" fontId="2" fillId="6" borderId="1" xfId="0" applyFont="1" applyFill="1" applyBorder="1"/>
    <xf numFmtId="0" fontId="2" fillId="6" borderId="0" xfId="0" applyFont="1" applyFill="1"/>
    <xf numFmtId="0" fontId="3" fillId="0" borderId="1" xfId="0" applyFont="1" applyBorder="1" applyAlignment="1">
      <alignment wrapText="1"/>
    </xf>
    <xf numFmtId="0" fontId="8" fillId="5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164" fontId="8" fillId="5" borderId="6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164" fontId="8" fillId="5" borderId="6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/>
    <xf numFmtId="164" fontId="3" fillId="0" borderId="0" xfId="1" applyNumberFormat="1" applyFont="1"/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center"/>
    </xf>
    <xf numFmtId="164" fontId="8" fillId="5" borderId="6" xfId="1" applyNumberFormat="1" applyFont="1" applyFill="1" applyBorder="1" applyAlignment="1">
      <alignment horizontal="center"/>
    </xf>
    <xf numFmtId="164" fontId="8" fillId="5" borderId="1" xfId="1" applyNumberFormat="1" applyFont="1" applyFill="1" applyBorder="1" applyAlignment="1">
      <alignment horizontal="center"/>
    </xf>
    <xf numFmtId="164" fontId="8" fillId="5" borderId="6" xfId="1" applyNumberFormat="1" applyFont="1" applyFill="1" applyBorder="1" applyAlignment="1">
      <alignment horizontal="center" wrapText="1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 wrapText="1"/>
    </xf>
    <xf numFmtId="164" fontId="8" fillId="5" borderId="5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2" fontId="2" fillId="7" borderId="1" xfId="0" applyNumberFormat="1" applyFont="1" applyFill="1" applyBorder="1"/>
    <xf numFmtId="164" fontId="2" fillId="7" borderId="1" xfId="1" applyNumberFormat="1" applyFont="1" applyFill="1" applyBorder="1"/>
    <xf numFmtId="0" fontId="2" fillId="7" borderId="0" xfId="0" applyFont="1" applyFill="1"/>
    <xf numFmtId="0" fontId="9" fillId="0" borderId="0" xfId="0" applyFo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20B3-E616-4FAD-BF48-F7A508D98DBC}">
  <dimension ref="A1:V98"/>
  <sheetViews>
    <sheetView tabSelected="1" workbookViewId="0">
      <selection activeCell="K4" sqref="K4"/>
    </sheetView>
  </sheetViews>
  <sheetFormatPr defaultRowHeight="12" x14ac:dyDescent="0.2"/>
  <cols>
    <col min="1" max="1" width="3" style="36" bestFit="1" customWidth="1"/>
    <col min="2" max="2" width="15.7109375" style="36" customWidth="1"/>
    <col min="3" max="3" width="23.7109375" style="36" customWidth="1"/>
    <col min="4" max="4" width="11.85546875" style="24" customWidth="1"/>
    <col min="5" max="5" width="11" style="36" customWidth="1"/>
    <col min="6" max="6" width="10.42578125" style="36" customWidth="1"/>
    <col min="7" max="7" width="16.5703125" style="24" customWidth="1"/>
    <col min="8" max="8" width="15.7109375" style="24" customWidth="1"/>
    <col min="9" max="9" width="13" style="36" customWidth="1"/>
    <col min="10" max="10" width="14.140625" style="36" customWidth="1"/>
    <col min="11" max="11" width="12.140625" style="36" customWidth="1"/>
    <col min="12" max="12" width="9.5703125" style="36" customWidth="1"/>
    <col min="13" max="13" width="12" style="36" customWidth="1"/>
    <col min="14" max="14" width="12.42578125" style="36" customWidth="1"/>
    <col min="15" max="15" width="9.7109375" style="36" customWidth="1"/>
    <col min="16" max="16" width="16.7109375" style="66" customWidth="1"/>
    <col min="17" max="17" width="12.7109375" style="36" customWidth="1"/>
    <col min="18" max="18" width="13.5703125" style="66" customWidth="1"/>
    <col min="19" max="19" width="15" style="66" customWidth="1"/>
    <col min="20" max="20" width="20.5703125" style="66" customWidth="1"/>
    <col min="21" max="21" width="13.5703125" style="66" customWidth="1"/>
    <col min="22" max="22" width="15.140625" style="36" customWidth="1"/>
    <col min="23" max="16384" width="9.140625" style="36"/>
  </cols>
  <sheetData>
    <row r="1" spans="1:22" s="14" customFormat="1" ht="38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1" t="s">
        <v>4</v>
      </c>
      <c r="H1" s="5" t="s">
        <v>5</v>
      </c>
      <c r="I1" s="6"/>
      <c r="J1" s="7" t="s">
        <v>6</v>
      </c>
      <c r="K1" s="8" t="s">
        <v>7</v>
      </c>
      <c r="L1" s="7" t="s">
        <v>8</v>
      </c>
      <c r="M1" s="7" t="s">
        <v>9</v>
      </c>
      <c r="N1" s="5" t="s">
        <v>10</v>
      </c>
      <c r="O1" s="9"/>
      <c r="P1" s="6"/>
      <c r="Q1" s="10" t="s">
        <v>11</v>
      </c>
      <c r="R1" s="10"/>
      <c r="S1" s="10"/>
      <c r="T1" s="11" t="s">
        <v>12</v>
      </c>
      <c r="U1" s="12" t="s">
        <v>13</v>
      </c>
      <c r="V1" s="13" t="s">
        <v>14</v>
      </c>
    </row>
    <row r="2" spans="1:22" s="24" customFormat="1" ht="36" x14ac:dyDescent="0.2">
      <c r="A2" s="1"/>
      <c r="B2" s="1"/>
      <c r="C2" s="1"/>
      <c r="D2" s="15" t="s">
        <v>15</v>
      </c>
      <c r="E2" s="15" t="s">
        <v>16</v>
      </c>
      <c r="F2" s="15" t="s">
        <v>17</v>
      </c>
      <c r="G2" s="1"/>
      <c r="H2" s="16" t="s">
        <v>18</v>
      </c>
      <c r="I2" s="17" t="s">
        <v>19</v>
      </c>
      <c r="J2" s="7"/>
      <c r="K2" s="8"/>
      <c r="L2" s="7"/>
      <c r="M2" s="7"/>
      <c r="N2" s="16" t="s">
        <v>20</v>
      </c>
      <c r="O2" s="17" t="s">
        <v>21</v>
      </c>
      <c r="P2" s="18" t="s">
        <v>22</v>
      </c>
      <c r="Q2" s="19" t="s">
        <v>23</v>
      </c>
      <c r="R2" s="20" t="s">
        <v>22</v>
      </c>
      <c r="S2" s="21" t="s">
        <v>24</v>
      </c>
      <c r="T2" s="11"/>
      <c r="U2" s="22"/>
      <c r="V2" s="23"/>
    </row>
    <row r="3" spans="1:22" s="24" customFormat="1" x14ac:dyDescent="0.2">
      <c r="A3" s="25">
        <v>0</v>
      </c>
      <c r="B3" s="25">
        <v>1</v>
      </c>
      <c r="C3" s="25">
        <v>2</v>
      </c>
      <c r="D3" s="25">
        <v>3</v>
      </c>
      <c r="E3" s="25">
        <v>4</v>
      </c>
      <c r="F3" s="25">
        <v>5</v>
      </c>
      <c r="G3" s="25">
        <v>6</v>
      </c>
      <c r="H3" s="26">
        <v>7</v>
      </c>
      <c r="I3" s="25">
        <v>8</v>
      </c>
      <c r="J3" s="25">
        <v>9</v>
      </c>
      <c r="K3" s="25">
        <v>10</v>
      </c>
      <c r="L3" s="25">
        <v>11</v>
      </c>
      <c r="M3" s="25">
        <v>12</v>
      </c>
      <c r="N3" s="25">
        <v>13</v>
      </c>
      <c r="O3" s="26">
        <v>14</v>
      </c>
      <c r="P3" s="27">
        <v>15</v>
      </c>
      <c r="Q3" s="25">
        <v>16</v>
      </c>
      <c r="R3" s="27">
        <v>17</v>
      </c>
      <c r="S3" s="27">
        <v>18</v>
      </c>
      <c r="T3" s="27">
        <v>19</v>
      </c>
      <c r="U3" s="25">
        <v>20</v>
      </c>
      <c r="V3" s="25">
        <v>21</v>
      </c>
    </row>
    <row r="4" spans="1:22" ht="84" x14ac:dyDescent="0.2">
      <c r="A4" s="28">
        <v>1</v>
      </c>
      <c r="B4" s="29" t="s">
        <v>25</v>
      </c>
      <c r="C4" s="29" t="s">
        <v>26</v>
      </c>
      <c r="D4" s="29" t="s">
        <v>27</v>
      </c>
      <c r="E4" s="29" t="s">
        <v>28</v>
      </c>
      <c r="F4" s="29" t="s">
        <v>29</v>
      </c>
      <c r="G4" s="29" t="s">
        <v>30</v>
      </c>
      <c r="H4" s="30" t="s">
        <v>31</v>
      </c>
      <c r="I4" s="29" t="s">
        <v>32</v>
      </c>
      <c r="J4" s="30" t="s">
        <v>33</v>
      </c>
      <c r="K4" s="31" t="s">
        <v>34</v>
      </c>
      <c r="L4" s="32">
        <v>417</v>
      </c>
      <c r="M4" s="31" t="s">
        <v>35</v>
      </c>
      <c r="N4" s="31" t="s">
        <v>36</v>
      </c>
      <c r="O4" s="32">
        <v>417</v>
      </c>
      <c r="P4" s="33">
        <v>509991000</v>
      </c>
      <c r="Q4" s="31" t="s">
        <v>37</v>
      </c>
      <c r="R4" s="33">
        <v>246966406</v>
      </c>
      <c r="S4" s="33">
        <v>46151594</v>
      </c>
      <c r="T4" s="34">
        <f>P4+R4+S4</f>
        <v>803109000</v>
      </c>
      <c r="U4" s="35" t="s">
        <v>38</v>
      </c>
      <c r="V4" s="28"/>
    </row>
    <row r="5" spans="1:22" ht="84" x14ac:dyDescent="0.2">
      <c r="A5" s="28">
        <v>2</v>
      </c>
      <c r="B5" s="29" t="s">
        <v>25</v>
      </c>
      <c r="C5" s="29" t="s">
        <v>26</v>
      </c>
      <c r="D5" s="29" t="s">
        <v>39</v>
      </c>
      <c r="E5" s="29" t="s">
        <v>28</v>
      </c>
      <c r="F5" s="29" t="s">
        <v>29</v>
      </c>
      <c r="G5" s="29" t="s">
        <v>30</v>
      </c>
      <c r="H5" s="30" t="s">
        <v>40</v>
      </c>
      <c r="I5" s="29" t="s">
        <v>41</v>
      </c>
      <c r="J5" s="30" t="s">
        <v>42</v>
      </c>
      <c r="K5" s="31" t="s">
        <v>43</v>
      </c>
      <c r="L5" s="32">
        <v>700</v>
      </c>
      <c r="M5" s="31" t="s">
        <v>35</v>
      </c>
      <c r="N5" s="31" t="s">
        <v>44</v>
      </c>
      <c r="O5" s="32">
        <v>700</v>
      </c>
      <c r="P5" s="33">
        <v>856100000</v>
      </c>
      <c r="Q5" s="31"/>
      <c r="R5" s="33">
        <v>105677896</v>
      </c>
      <c r="S5" s="33">
        <v>29402104</v>
      </c>
      <c r="T5" s="34">
        <f t="shared" ref="T5:T46" si="0">P5+R5+S5</f>
        <v>991180000</v>
      </c>
      <c r="U5" s="35" t="s">
        <v>38</v>
      </c>
      <c r="V5" s="28"/>
    </row>
    <row r="6" spans="1:22" ht="36" x14ac:dyDescent="0.2">
      <c r="A6" s="28">
        <v>3</v>
      </c>
      <c r="B6" s="29" t="s">
        <v>25</v>
      </c>
      <c r="C6" s="29" t="s">
        <v>26</v>
      </c>
      <c r="D6" s="29" t="s">
        <v>45</v>
      </c>
      <c r="E6" s="29" t="s">
        <v>28</v>
      </c>
      <c r="F6" s="29" t="s">
        <v>29</v>
      </c>
      <c r="G6" s="29" t="s">
        <v>30</v>
      </c>
      <c r="H6" s="30" t="s">
        <v>46</v>
      </c>
      <c r="I6" s="29" t="s">
        <v>47</v>
      </c>
      <c r="J6" s="30" t="s">
        <v>48</v>
      </c>
      <c r="K6" s="31" t="s">
        <v>49</v>
      </c>
      <c r="L6" s="37">
        <v>309.60000000000002</v>
      </c>
      <c r="M6" s="31" t="s">
        <v>50</v>
      </c>
      <c r="N6" s="31" t="s">
        <v>51</v>
      </c>
      <c r="O6" s="37">
        <v>309.60000000000002</v>
      </c>
      <c r="P6" s="33">
        <v>378714180</v>
      </c>
      <c r="Q6" s="31" t="s">
        <v>52</v>
      </c>
      <c r="R6" s="33">
        <v>63933301</v>
      </c>
      <c r="S6" s="33">
        <v>18910519</v>
      </c>
      <c r="T6" s="34">
        <f t="shared" si="0"/>
        <v>461558000</v>
      </c>
      <c r="U6" s="35" t="s">
        <v>38</v>
      </c>
      <c r="V6" s="28"/>
    </row>
    <row r="7" spans="1:22" ht="36" x14ac:dyDescent="0.2">
      <c r="A7" s="28">
        <v>4</v>
      </c>
      <c r="B7" s="29" t="s">
        <v>25</v>
      </c>
      <c r="C7" s="29" t="s">
        <v>26</v>
      </c>
      <c r="D7" s="29" t="s">
        <v>53</v>
      </c>
      <c r="E7" s="29" t="s">
        <v>28</v>
      </c>
      <c r="F7" s="29" t="s">
        <v>29</v>
      </c>
      <c r="G7" s="29" t="s">
        <v>30</v>
      </c>
      <c r="H7" s="30" t="s">
        <v>54</v>
      </c>
      <c r="I7" s="29" t="s">
        <v>55</v>
      </c>
      <c r="J7" s="30" t="s">
        <v>56</v>
      </c>
      <c r="K7" s="31" t="s">
        <v>57</v>
      </c>
      <c r="L7" s="32">
        <v>661</v>
      </c>
      <c r="M7" s="31" t="s">
        <v>50</v>
      </c>
      <c r="N7" s="31" t="s">
        <v>58</v>
      </c>
      <c r="O7" s="32">
        <v>661</v>
      </c>
      <c r="P7" s="33">
        <v>808403000</v>
      </c>
      <c r="Q7" s="31" t="s">
        <v>59</v>
      </c>
      <c r="R7" s="33">
        <v>114398119</v>
      </c>
      <c r="S7" s="33">
        <v>50355881</v>
      </c>
      <c r="T7" s="34">
        <f t="shared" si="0"/>
        <v>973157000</v>
      </c>
      <c r="U7" s="35" t="s">
        <v>38</v>
      </c>
      <c r="V7" s="28"/>
    </row>
    <row r="8" spans="1:22" ht="48" x14ac:dyDescent="0.2">
      <c r="A8" s="28">
        <v>5</v>
      </c>
      <c r="B8" s="29" t="s">
        <v>25</v>
      </c>
      <c r="C8" s="29" t="s">
        <v>26</v>
      </c>
      <c r="D8" s="29" t="s">
        <v>60</v>
      </c>
      <c r="E8" s="29" t="s">
        <v>28</v>
      </c>
      <c r="F8" s="29" t="s">
        <v>29</v>
      </c>
      <c r="G8" s="29" t="s">
        <v>61</v>
      </c>
      <c r="H8" s="29" t="s">
        <v>62</v>
      </c>
      <c r="I8" s="38" t="s">
        <v>63</v>
      </c>
      <c r="J8" s="30" t="s">
        <v>64</v>
      </c>
      <c r="K8" s="31" t="s">
        <v>65</v>
      </c>
      <c r="L8" s="32">
        <v>422</v>
      </c>
      <c r="M8" s="31" t="s">
        <v>66</v>
      </c>
      <c r="N8" s="31" t="s">
        <v>67</v>
      </c>
      <c r="O8" s="32">
        <v>422</v>
      </c>
      <c r="P8" s="33">
        <v>408918000</v>
      </c>
      <c r="Q8" s="31"/>
      <c r="R8" s="33"/>
      <c r="S8" s="33">
        <v>6179000</v>
      </c>
      <c r="T8" s="34">
        <f t="shared" si="0"/>
        <v>415097000</v>
      </c>
      <c r="U8" s="35" t="s">
        <v>38</v>
      </c>
      <c r="V8" s="28"/>
    </row>
    <row r="9" spans="1:22" ht="60" x14ac:dyDescent="0.2">
      <c r="A9" s="28">
        <v>6</v>
      </c>
      <c r="B9" s="29" t="s">
        <v>25</v>
      </c>
      <c r="C9" s="29" t="s">
        <v>26</v>
      </c>
      <c r="D9" s="29" t="s">
        <v>68</v>
      </c>
      <c r="E9" s="29" t="s">
        <v>28</v>
      </c>
      <c r="F9" s="29" t="s">
        <v>29</v>
      </c>
      <c r="G9" s="29" t="s">
        <v>61</v>
      </c>
      <c r="H9" s="29" t="s">
        <v>69</v>
      </c>
      <c r="I9" s="38" t="s">
        <v>70</v>
      </c>
      <c r="J9" s="30" t="s">
        <v>71</v>
      </c>
      <c r="K9" s="31" t="s">
        <v>72</v>
      </c>
      <c r="L9" s="32">
        <v>216</v>
      </c>
      <c r="M9" s="31" t="s">
        <v>66</v>
      </c>
      <c r="N9" s="31" t="s">
        <v>73</v>
      </c>
      <c r="O9" s="32">
        <v>216</v>
      </c>
      <c r="P9" s="33">
        <v>209304000</v>
      </c>
      <c r="Q9" s="31"/>
      <c r="R9" s="33"/>
      <c r="S9" s="33">
        <v>3825000</v>
      </c>
      <c r="T9" s="34">
        <f t="shared" si="0"/>
        <v>213129000</v>
      </c>
      <c r="U9" s="35" t="s">
        <v>38</v>
      </c>
      <c r="V9" s="28"/>
    </row>
    <row r="10" spans="1:22" ht="60" x14ac:dyDescent="0.2">
      <c r="A10" s="28">
        <v>7</v>
      </c>
      <c r="B10" s="29" t="s">
        <v>25</v>
      </c>
      <c r="C10" s="29" t="s">
        <v>26</v>
      </c>
      <c r="D10" s="29" t="s">
        <v>74</v>
      </c>
      <c r="E10" s="29" t="s">
        <v>28</v>
      </c>
      <c r="F10" s="29" t="s">
        <v>29</v>
      </c>
      <c r="G10" s="29" t="s">
        <v>61</v>
      </c>
      <c r="H10" s="29" t="s">
        <v>75</v>
      </c>
      <c r="I10" s="38" t="s">
        <v>76</v>
      </c>
      <c r="J10" s="30" t="s">
        <v>77</v>
      </c>
      <c r="K10" s="31" t="s">
        <v>78</v>
      </c>
      <c r="L10" s="32">
        <v>408</v>
      </c>
      <c r="M10" s="31" t="s">
        <v>66</v>
      </c>
      <c r="N10" s="31" t="s">
        <v>79</v>
      </c>
      <c r="O10" s="32">
        <v>408</v>
      </c>
      <c r="P10" s="33">
        <v>395352000</v>
      </c>
      <c r="Q10" s="31" t="s">
        <v>80</v>
      </c>
      <c r="R10" s="33">
        <v>85533476</v>
      </c>
      <c r="S10" s="33">
        <v>25862524</v>
      </c>
      <c r="T10" s="34">
        <f t="shared" si="0"/>
        <v>506748000</v>
      </c>
      <c r="U10" s="35" t="s">
        <v>38</v>
      </c>
      <c r="V10" s="28"/>
    </row>
    <row r="11" spans="1:22" ht="60" x14ac:dyDescent="0.2">
      <c r="A11" s="28">
        <v>8</v>
      </c>
      <c r="B11" s="29" t="s">
        <v>25</v>
      </c>
      <c r="C11" s="29" t="s">
        <v>26</v>
      </c>
      <c r="D11" s="29" t="s">
        <v>81</v>
      </c>
      <c r="E11" s="29" t="s">
        <v>28</v>
      </c>
      <c r="F11" s="29" t="s">
        <v>29</v>
      </c>
      <c r="G11" s="29" t="s">
        <v>61</v>
      </c>
      <c r="H11" s="29" t="s">
        <v>82</v>
      </c>
      <c r="I11" s="38" t="s">
        <v>83</v>
      </c>
      <c r="J11" s="30" t="s">
        <v>84</v>
      </c>
      <c r="K11" s="31" t="s">
        <v>85</v>
      </c>
      <c r="L11" s="32">
        <v>252</v>
      </c>
      <c r="M11" s="31" t="s">
        <v>66</v>
      </c>
      <c r="N11" s="31" t="s">
        <v>86</v>
      </c>
      <c r="O11" s="32">
        <v>252</v>
      </c>
      <c r="P11" s="33">
        <v>244188000</v>
      </c>
      <c r="Q11" s="31"/>
      <c r="R11" s="33"/>
      <c r="S11" s="33">
        <v>13618000</v>
      </c>
      <c r="T11" s="34">
        <f t="shared" si="0"/>
        <v>257806000</v>
      </c>
      <c r="U11" s="35" t="s">
        <v>38</v>
      </c>
      <c r="V11" s="28"/>
    </row>
    <row r="12" spans="1:22" ht="48" x14ac:dyDescent="0.2">
      <c r="A12" s="28">
        <v>9</v>
      </c>
      <c r="B12" s="29" t="s">
        <v>25</v>
      </c>
      <c r="C12" s="29" t="s">
        <v>26</v>
      </c>
      <c r="D12" s="29" t="s">
        <v>87</v>
      </c>
      <c r="E12" s="29" t="s">
        <v>28</v>
      </c>
      <c r="F12" s="29" t="s">
        <v>29</v>
      </c>
      <c r="G12" s="29" t="s">
        <v>88</v>
      </c>
      <c r="H12" s="30" t="s">
        <v>89</v>
      </c>
      <c r="I12" s="29" t="s">
        <v>90</v>
      </c>
      <c r="J12" s="30" t="s">
        <v>91</v>
      </c>
      <c r="K12" s="31" t="s">
        <v>92</v>
      </c>
      <c r="L12" s="32">
        <v>692</v>
      </c>
      <c r="M12" s="31" t="s">
        <v>35</v>
      </c>
      <c r="N12" s="31" t="s">
        <v>93</v>
      </c>
      <c r="O12" s="32">
        <v>692</v>
      </c>
      <c r="P12" s="33">
        <v>846316000</v>
      </c>
      <c r="Q12" s="31" t="s">
        <v>94</v>
      </c>
      <c r="R12" s="33">
        <v>1791296876</v>
      </c>
      <c r="S12" s="33">
        <v>226993124</v>
      </c>
      <c r="T12" s="34">
        <f t="shared" si="0"/>
        <v>2864606000</v>
      </c>
      <c r="U12" s="35" t="s">
        <v>38</v>
      </c>
      <c r="V12" s="28"/>
    </row>
    <row r="13" spans="1:22" ht="60" x14ac:dyDescent="0.2">
      <c r="A13" s="28">
        <v>10</v>
      </c>
      <c r="B13" s="29" t="s">
        <v>25</v>
      </c>
      <c r="C13" s="29" t="s">
        <v>26</v>
      </c>
      <c r="D13" s="29" t="s">
        <v>95</v>
      </c>
      <c r="E13" s="29" t="s">
        <v>28</v>
      </c>
      <c r="F13" s="29" t="s">
        <v>29</v>
      </c>
      <c r="G13" s="29" t="s">
        <v>96</v>
      </c>
      <c r="H13" s="30" t="s">
        <v>97</v>
      </c>
      <c r="I13" s="30" t="s">
        <v>98</v>
      </c>
      <c r="J13" s="30" t="s">
        <v>99</v>
      </c>
      <c r="K13" s="31" t="s">
        <v>100</v>
      </c>
      <c r="L13" s="37">
        <v>698.2</v>
      </c>
      <c r="M13" s="31" t="s">
        <v>35</v>
      </c>
      <c r="N13" s="30" t="s">
        <v>101</v>
      </c>
      <c r="O13" s="37">
        <v>698.2</v>
      </c>
      <c r="P13" s="33">
        <v>853898600</v>
      </c>
      <c r="Q13" s="31" t="s">
        <v>102</v>
      </c>
      <c r="R13" s="33">
        <v>539808841</v>
      </c>
      <c r="S13" s="33">
        <v>68860559</v>
      </c>
      <c r="T13" s="34">
        <f t="shared" si="0"/>
        <v>1462568000</v>
      </c>
      <c r="U13" s="35" t="s">
        <v>38</v>
      </c>
      <c r="V13" s="28"/>
    </row>
    <row r="14" spans="1:22" ht="60" x14ac:dyDescent="0.2">
      <c r="A14" s="28">
        <v>11</v>
      </c>
      <c r="B14" s="29" t="s">
        <v>25</v>
      </c>
      <c r="C14" s="29" t="s">
        <v>26</v>
      </c>
      <c r="D14" s="29" t="s">
        <v>103</v>
      </c>
      <c r="E14" s="29" t="s">
        <v>28</v>
      </c>
      <c r="F14" s="29" t="s">
        <v>29</v>
      </c>
      <c r="G14" s="29" t="s">
        <v>104</v>
      </c>
      <c r="H14" s="30" t="s">
        <v>105</v>
      </c>
      <c r="I14" s="30" t="s">
        <v>106</v>
      </c>
      <c r="J14" s="30" t="s">
        <v>107</v>
      </c>
      <c r="K14" s="31" t="s">
        <v>108</v>
      </c>
      <c r="L14" s="32">
        <v>489</v>
      </c>
      <c r="M14" s="31" t="s">
        <v>109</v>
      </c>
      <c r="N14" s="31" t="s">
        <v>110</v>
      </c>
      <c r="O14" s="32">
        <v>489</v>
      </c>
      <c r="P14" s="33">
        <v>388160000</v>
      </c>
      <c r="Q14" s="32">
        <v>1</v>
      </c>
      <c r="R14" s="33"/>
      <c r="S14" s="33"/>
      <c r="T14" s="34">
        <f t="shared" si="0"/>
        <v>388160000</v>
      </c>
      <c r="U14" s="35" t="s">
        <v>38</v>
      </c>
      <c r="V14" s="28"/>
    </row>
    <row r="15" spans="1:22" ht="72" x14ac:dyDescent="0.2">
      <c r="A15" s="28">
        <v>12</v>
      </c>
      <c r="B15" s="29" t="s">
        <v>25</v>
      </c>
      <c r="C15" s="29" t="s">
        <v>26</v>
      </c>
      <c r="D15" s="29" t="s">
        <v>111</v>
      </c>
      <c r="E15" s="29" t="s">
        <v>28</v>
      </c>
      <c r="F15" s="29" t="s">
        <v>29</v>
      </c>
      <c r="G15" s="29" t="s">
        <v>104</v>
      </c>
      <c r="H15" s="30" t="s">
        <v>112</v>
      </c>
      <c r="I15" s="30" t="s">
        <v>113</v>
      </c>
      <c r="J15" s="30" t="s">
        <v>114</v>
      </c>
      <c r="K15" s="31" t="s">
        <v>115</v>
      </c>
      <c r="L15" s="32">
        <v>64</v>
      </c>
      <c r="M15" s="31" t="s">
        <v>109</v>
      </c>
      <c r="N15" s="31" t="s">
        <v>116</v>
      </c>
      <c r="O15" s="32">
        <v>64</v>
      </c>
      <c r="P15" s="33">
        <v>116800000</v>
      </c>
      <c r="Q15" s="31" t="s">
        <v>117</v>
      </c>
      <c r="R15" s="33"/>
      <c r="S15" s="33"/>
      <c r="T15" s="34">
        <f t="shared" si="0"/>
        <v>116800000</v>
      </c>
      <c r="U15" s="35" t="s">
        <v>38</v>
      </c>
      <c r="V15" s="28"/>
    </row>
    <row r="16" spans="1:22" ht="72" x14ac:dyDescent="0.2">
      <c r="A16" s="28">
        <v>13</v>
      </c>
      <c r="B16" s="29" t="s">
        <v>25</v>
      </c>
      <c r="C16" s="29" t="s">
        <v>26</v>
      </c>
      <c r="D16" s="29" t="s">
        <v>118</v>
      </c>
      <c r="E16" s="29" t="s">
        <v>28</v>
      </c>
      <c r="F16" s="29" t="s">
        <v>29</v>
      </c>
      <c r="G16" s="29" t="s">
        <v>104</v>
      </c>
      <c r="H16" s="30" t="s">
        <v>119</v>
      </c>
      <c r="I16" s="30" t="s">
        <v>120</v>
      </c>
      <c r="J16" s="30" t="s">
        <v>121</v>
      </c>
      <c r="K16" s="31" t="s">
        <v>122</v>
      </c>
      <c r="L16" s="32">
        <v>700</v>
      </c>
      <c r="M16" s="31" t="s">
        <v>109</v>
      </c>
      <c r="N16" s="31" t="s">
        <v>123</v>
      </c>
      <c r="O16" s="32">
        <v>700</v>
      </c>
      <c r="P16" s="33">
        <v>517800000</v>
      </c>
      <c r="Q16" s="32"/>
      <c r="R16" s="33"/>
      <c r="S16" s="33"/>
      <c r="T16" s="34">
        <f t="shared" si="0"/>
        <v>517800000</v>
      </c>
      <c r="U16" s="35" t="s">
        <v>38</v>
      </c>
      <c r="V16" s="28"/>
    </row>
    <row r="17" spans="1:22" ht="60" x14ac:dyDescent="0.2">
      <c r="A17" s="28">
        <v>14</v>
      </c>
      <c r="B17" s="29" t="s">
        <v>25</v>
      </c>
      <c r="C17" s="29" t="s">
        <v>26</v>
      </c>
      <c r="D17" s="29" t="s">
        <v>124</v>
      </c>
      <c r="E17" s="29" t="s">
        <v>28</v>
      </c>
      <c r="F17" s="29" t="s">
        <v>29</v>
      </c>
      <c r="G17" s="29" t="s">
        <v>104</v>
      </c>
      <c r="H17" s="30" t="s">
        <v>125</v>
      </c>
      <c r="I17" s="30" t="s">
        <v>126</v>
      </c>
      <c r="J17" s="30" t="s">
        <v>127</v>
      </c>
      <c r="K17" s="31" t="s">
        <v>128</v>
      </c>
      <c r="L17" s="32">
        <v>697</v>
      </c>
      <c r="M17" s="31" t="s">
        <v>109</v>
      </c>
      <c r="N17" s="31" t="s">
        <v>129</v>
      </c>
      <c r="O17" s="32">
        <v>697</v>
      </c>
      <c r="P17" s="33">
        <v>522320000</v>
      </c>
      <c r="Q17" s="32"/>
      <c r="R17" s="33"/>
      <c r="S17" s="33"/>
      <c r="T17" s="34">
        <f t="shared" si="0"/>
        <v>522320000</v>
      </c>
      <c r="U17" s="35" t="s">
        <v>38</v>
      </c>
      <c r="V17" s="28"/>
    </row>
    <row r="18" spans="1:22" ht="72" x14ac:dyDescent="0.2">
      <c r="A18" s="28">
        <v>15</v>
      </c>
      <c r="B18" s="29" t="s">
        <v>25</v>
      </c>
      <c r="C18" s="29" t="s">
        <v>26</v>
      </c>
      <c r="D18" s="29" t="s">
        <v>130</v>
      </c>
      <c r="E18" s="29" t="s">
        <v>28</v>
      </c>
      <c r="F18" s="29" t="s">
        <v>29</v>
      </c>
      <c r="G18" s="29" t="s">
        <v>104</v>
      </c>
      <c r="H18" s="30" t="s">
        <v>131</v>
      </c>
      <c r="I18" s="30" t="s">
        <v>132</v>
      </c>
      <c r="J18" s="30" t="s">
        <v>133</v>
      </c>
      <c r="K18" s="31" t="s">
        <v>134</v>
      </c>
      <c r="L18" s="32">
        <v>455</v>
      </c>
      <c r="M18" s="31" t="s">
        <v>109</v>
      </c>
      <c r="N18" s="31" t="s">
        <v>135</v>
      </c>
      <c r="O18" s="32">
        <v>455</v>
      </c>
      <c r="P18" s="33">
        <v>341680000</v>
      </c>
      <c r="Q18" s="32"/>
      <c r="R18" s="33"/>
      <c r="S18" s="33"/>
      <c r="T18" s="34">
        <f t="shared" si="0"/>
        <v>341680000</v>
      </c>
      <c r="U18" s="35" t="s">
        <v>38</v>
      </c>
      <c r="V18" s="28"/>
    </row>
    <row r="19" spans="1:22" ht="60" x14ac:dyDescent="0.2">
      <c r="A19" s="28">
        <v>16</v>
      </c>
      <c r="B19" s="29" t="s">
        <v>25</v>
      </c>
      <c r="C19" s="29" t="s">
        <v>26</v>
      </c>
      <c r="D19" s="29" t="s">
        <v>136</v>
      </c>
      <c r="E19" s="29" t="s">
        <v>28</v>
      </c>
      <c r="F19" s="29" t="s">
        <v>29</v>
      </c>
      <c r="G19" s="29" t="s">
        <v>104</v>
      </c>
      <c r="H19" s="30" t="s">
        <v>137</v>
      </c>
      <c r="I19" s="30" t="s">
        <v>138</v>
      </c>
      <c r="J19" s="30" t="s">
        <v>139</v>
      </c>
      <c r="K19" s="31" t="s">
        <v>140</v>
      </c>
      <c r="L19" s="32">
        <v>700</v>
      </c>
      <c r="M19" s="31" t="s">
        <v>109</v>
      </c>
      <c r="N19" s="31" t="s">
        <v>141</v>
      </c>
      <c r="O19" s="32">
        <v>700</v>
      </c>
      <c r="P19" s="33">
        <v>243600000</v>
      </c>
      <c r="Q19" s="31"/>
      <c r="R19" s="33"/>
      <c r="S19" s="33"/>
      <c r="T19" s="34">
        <f t="shared" si="0"/>
        <v>243600000</v>
      </c>
      <c r="U19" s="35" t="s">
        <v>38</v>
      </c>
      <c r="V19" s="28"/>
    </row>
    <row r="20" spans="1:22" ht="72" x14ac:dyDescent="0.2">
      <c r="A20" s="28">
        <v>17</v>
      </c>
      <c r="B20" s="29" t="s">
        <v>25</v>
      </c>
      <c r="C20" s="29" t="s">
        <v>26</v>
      </c>
      <c r="D20" s="29" t="s">
        <v>142</v>
      </c>
      <c r="E20" s="29" t="s">
        <v>28</v>
      </c>
      <c r="F20" s="29" t="s">
        <v>29</v>
      </c>
      <c r="G20" s="29" t="s">
        <v>104</v>
      </c>
      <c r="H20" s="30" t="s">
        <v>143</v>
      </c>
      <c r="I20" s="30" t="s">
        <v>144</v>
      </c>
      <c r="J20" s="30" t="s">
        <v>145</v>
      </c>
      <c r="K20" s="31" t="s">
        <v>146</v>
      </c>
      <c r="L20" s="32">
        <v>464</v>
      </c>
      <c r="M20" s="31" t="s">
        <v>109</v>
      </c>
      <c r="N20" s="31" t="s">
        <v>147</v>
      </c>
      <c r="O20" s="32">
        <v>464</v>
      </c>
      <c r="P20" s="33">
        <v>384880000</v>
      </c>
      <c r="Q20" s="31" t="s">
        <v>148</v>
      </c>
      <c r="R20" s="33"/>
      <c r="S20" s="33"/>
      <c r="T20" s="34">
        <f t="shared" si="0"/>
        <v>384880000</v>
      </c>
      <c r="U20" s="35" t="s">
        <v>38</v>
      </c>
      <c r="V20" s="28"/>
    </row>
    <row r="21" spans="1:22" ht="72" x14ac:dyDescent="0.2">
      <c r="A21" s="28">
        <v>18</v>
      </c>
      <c r="B21" s="29" t="s">
        <v>25</v>
      </c>
      <c r="C21" s="29" t="s">
        <v>26</v>
      </c>
      <c r="D21" s="29" t="s">
        <v>149</v>
      </c>
      <c r="E21" s="29" t="s">
        <v>28</v>
      </c>
      <c r="F21" s="29" t="s">
        <v>29</v>
      </c>
      <c r="G21" s="29" t="s">
        <v>104</v>
      </c>
      <c r="H21" s="30" t="s">
        <v>150</v>
      </c>
      <c r="I21" s="30" t="s">
        <v>151</v>
      </c>
      <c r="J21" s="30" t="s">
        <v>152</v>
      </c>
      <c r="K21" s="31" t="s">
        <v>153</v>
      </c>
      <c r="L21" s="32">
        <v>498</v>
      </c>
      <c r="M21" s="31" t="s">
        <v>109</v>
      </c>
      <c r="N21" s="31" t="s">
        <v>154</v>
      </c>
      <c r="O21" s="32">
        <v>498</v>
      </c>
      <c r="P21" s="33">
        <v>362760000</v>
      </c>
      <c r="Q21" s="31"/>
      <c r="R21" s="33"/>
      <c r="S21" s="33"/>
      <c r="T21" s="34">
        <f t="shared" si="0"/>
        <v>362760000</v>
      </c>
      <c r="U21" s="35" t="s">
        <v>38</v>
      </c>
      <c r="V21" s="28"/>
    </row>
    <row r="22" spans="1:22" ht="72" x14ac:dyDescent="0.2">
      <c r="A22" s="28">
        <v>19</v>
      </c>
      <c r="B22" s="29" t="s">
        <v>25</v>
      </c>
      <c r="C22" s="29" t="s">
        <v>26</v>
      </c>
      <c r="D22" s="29" t="s">
        <v>155</v>
      </c>
      <c r="E22" s="29" t="s">
        <v>28</v>
      </c>
      <c r="F22" s="29" t="s">
        <v>29</v>
      </c>
      <c r="G22" s="29" t="s">
        <v>104</v>
      </c>
      <c r="H22" s="30" t="s">
        <v>156</v>
      </c>
      <c r="I22" s="30" t="s">
        <v>157</v>
      </c>
      <c r="J22" s="30" t="s">
        <v>158</v>
      </c>
      <c r="K22" s="31" t="s">
        <v>159</v>
      </c>
      <c r="L22" s="32">
        <v>494</v>
      </c>
      <c r="M22" s="31" t="s">
        <v>109</v>
      </c>
      <c r="N22" s="31" t="s">
        <v>160</v>
      </c>
      <c r="O22" s="32">
        <v>494</v>
      </c>
      <c r="P22" s="33">
        <v>365920000</v>
      </c>
      <c r="Q22" s="31"/>
      <c r="R22" s="33"/>
      <c r="S22" s="33"/>
      <c r="T22" s="34">
        <f t="shared" si="0"/>
        <v>365920000</v>
      </c>
      <c r="U22" s="35" t="s">
        <v>38</v>
      </c>
      <c r="V22" s="28"/>
    </row>
    <row r="23" spans="1:22" ht="72" x14ac:dyDescent="0.2">
      <c r="A23" s="28">
        <v>20</v>
      </c>
      <c r="B23" s="29" t="s">
        <v>25</v>
      </c>
      <c r="C23" s="29" t="s">
        <v>26</v>
      </c>
      <c r="D23" s="29" t="s">
        <v>161</v>
      </c>
      <c r="E23" s="29" t="s">
        <v>28</v>
      </c>
      <c r="F23" s="29" t="s">
        <v>29</v>
      </c>
      <c r="G23" s="29" t="s">
        <v>104</v>
      </c>
      <c r="H23" s="30" t="s">
        <v>162</v>
      </c>
      <c r="I23" s="30" t="s">
        <v>163</v>
      </c>
      <c r="J23" s="30" t="s">
        <v>164</v>
      </c>
      <c r="K23" s="31" t="s">
        <v>165</v>
      </c>
      <c r="L23" s="32">
        <v>547</v>
      </c>
      <c r="M23" s="31" t="s">
        <v>109</v>
      </c>
      <c r="N23" s="31" t="s">
        <v>166</v>
      </c>
      <c r="O23" s="32">
        <v>547</v>
      </c>
      <c r="P23" s="33">
        <v>406240000</v>
      </c>
      <c r="Q23" s="32"/>
      <c r="R23" s="33"/>
      <c r="S23" s="33"/>
      <c r="T23" s="34">
        <f t="shared" si="0"/>
        <v>406240000</v>
      </c>
      <c r="U23" s="35" t="s">
        <v>38</v>
      </c>
      <c r="V23" s="28"/>
    </row>
    <row r="24" spans="1:22" ht="72" x14ac:dyDescent="0.2">
      <c r="A24" s="28">
        <v>21</v>
      </c>
      <c r="B24" s="29" t="s">
        <v>25</v>
      </c>
      <c r="C24" s="29" t="s">
        <v>26</v>
      </c>
      <c r="D24" s="29" t="s">
        <v>167</v>
      </c>
      <c r="E24" s="29" t="s">
        <v>28</v>
      </c>
      <c r="F24" s="29" t="s">
        <v>29</v>
      </c>
      <c r="G24" s="29" t="s">
        <v>104</v>
      </c>
      <c r="H24" s="30" t="s">
        <v>168</v>
      </c>
      <c r="I24" s="30" t="s">
        <v>169</v>
      </c>
      <c r="J24" s="30" t="s">
        <v>170</v>
      </c>
      <c r="K24" s="31" t="s">
        <v>171</v>
      </c>
      <c r="L24" s="32">
        <v>664</v>
      </c>
      <c r="M24" s="31" t="s">
        <v>109</v>
      </c>
      <c r="N24" s="31" t="s">
        <v>172</v>
      </c>
      <c r="O24" s="32">
        <v>664</v>
      </c>
      <c r="P24" s="33">
        <v>332000000</v>
      </c>
      <c r="Q24" s="31" t="s">
        <v>173</v>
      </c>
      <c r="R24" s="33"/>
      <c r="S24" s="33"/>
      <c r="T24" s="34">
        <f t="shared" si="0"/>
        <v>332000000</v>
      </c>
      <c r="U24" s="35" t="s">
        <v>38</v>
      </c>
      <c r="V24" s="28"/>
    </row>
    <row r="25" spans="1:22" ht="72" x14ac:dyDescent="0.2">
      <c r="A25" s="28">
        <v>22</v>
      </c>
      <c r="B25" s="29" t="s">
        <v>25</v>
      </c>
      <c r="C25" s="29" t="s">
        <v>26</v>
      </c>
      <c r="D25" s="29" t="s">
        <v>174</v>
      </c>
      <c r="E25" s="29" t="s">
        <v>28</v>
      </c>
      <c r="F25" s="29" t="s">
        <v>29</v>
      </c>
      <c r="G25" s="29" t="s">
        <v>104</v>
      </c>
      <c r="H25" s="30" t="s">
        <v>175</v>
      </c>
      <c r="I25" s="30" t="s">
        <v>176</v>
      </c>
      <c r="J25" s="30" t="s">
        <v>177</v>
      </c>
      <c r="K25" s="31" t="s">
        <v>178</v>
      </c>
      <c r="L25" s="32">
        <v>493</v>
      </c>
      <c r="M25" s="31" t="s">
        <v>109</v>
      </c>
      <c r="N25" s="31" t="s">
        <v>179</v>
      </c>
      <c r="O25" s="32">
        <v>493</v>
      </c>
      <c r="P25" s="33">
        <v>355200000</v>
      </c>
      <c r="Q25" s="31" t="s">
        <v>180</v>
      </c>
      <c r="R25" s="33"/>
      <c r="S25" s="33"/>
      <c r="T25" s="34">
        <f t="shared" si="0"/>
        <v>355200000</v>
      </c>
      <c r="U25" s="35" t="s">
        <v>38</v>
      </c>
      <c r="V25" s="28"/>
    </row>
    <row r="26" spans="1:22" ht="72" x14ac:dyDescent="0.2">
      <c r="A26" s="28">
        <v>23</v>
      </c>
      <c r="B26" s="29" t="s">
        <v>25</v>
      </c>
      <c r="C26" s="29" t="s">
        <v>26</v>
      </c>
      <c r="D26" s="29" t="s">
        <v>181</v>
      </c>
      <c r="E26" s="29" t="s">
        <v>28</v>
      </c>
      <c r="F26" s="29" t="s">
        <v>29</v>
      </c>
      <c r="G26" s="29" t="s">
        <v>104</v>
      </c>
      <c r="H26" s="30" t="s">
        <v>182</v>
      </c>
      <c r="I26" s="30" t="s">
        <v>183</v>
      </c>
      <c r="J26" s="30" t="s">
        <v>184</v>
      </c>
      <c r="K26" s="31" t="s">
        <v>185</v>
      </c>
      <c r="L26" s="32">
        <v>542</v>
      </c>
      <c r="M26" s="31" t="s">
        <v>109</v>
      </c>
      <c r="N26" s="31" t="s">
        <v>186</v>
      </c>
      <c r="O26" s="32">
        <v>542</v>
      </c>
      <c r="P26" s="33">
        <v>405800000</v>
      </c>
      <c r="Q26" s="32">
        <v>1</v>
      </c>
      <c r="R26" s="33"/>
      <c r="S26" s="33"/>
      <c r="T26" s="34">
        <f t="shared" si="0"/>
        <v>405800000</v>
      </c>
      <c r="U26" s="35" t="s">
        <v>38</v>
      </c>
      <c r="V26" s="28"/>
    </row>
    <row r="27" spans="1:22" ht="72" x14ac:dyDescent="0.2">
      <c r="A27" s="28">
        <v>24</v>
      </c>
      <c r="B27" s="29" t="s">
        <v>25</v>
      </c>
      <c r="C27" s="29" t="s">
        <v>26</v>
      </c>
      <c r="D27" s="29" t="s">
        <v>187</v>
      </c>
      <c r="E27" s="29" t="s">
        <v>28</v>
      </c>
      <c r="F27" s="29" t="s">
        <v>29</v>
      </c>
      <c r="G27" s="29" t="s">
        <v>104</v>
      </c>
      <c r="H27" s="30" t="s">
        <v>188</v>
      </c>
      <c r="I27" s="30" t="s">
        <v>189</v>
      </c>
      <c r="J27" s="30" t="s">
        <v>190</v>
      </c>
      <c r="K27" s="31" t="s">
        <v>191</v>
      </c>
      <c r="L27" s="32">
        <v>292</v>
      </c>
      <c r="M27" s="31" t="s">
        <v>109</v>
      </c>
      <c r="N27" s="31" t="s">
        <v>192</v>
      </c>
      <c r="O27" s="32">
        <v>292</v>
      </c>
      <c r="P27" s="33">
        <v>226880000</v>
      </c>
      <c r="Q27" s="32">
        <v>1</v>
      </c>
      <c r="R27" s="33"/>
      <c r="S27" s="33"/>
      <c r="T27" s="34">
        <f t="shared" si="0"/>
        <v>226880000</v>
      </c>
      <c r="U27" s="35" t="s">
        <v>38</v>
      </c>
      <c r="V27" s="28"/>
    </row>
    <row r="28" spans="1:22" ht="72" x14ac:dyDescent="0.2">
      <c r="A28" s="28">
        <v>25</v>
      </c>
      <c r="B28" s="29" t="s">
        <v>25</v>
      </c>
      <c r="C28" s="29" t="s">
        <v>26</v>
      </c>
      <c r="D28" s="29" t="s">
        <v>193</v>
      </c>
      <c r="E28" s="29" t="s">
        <v>28</v>
      </c>
      <c r="F28" s="29" t="s">
        <v>29</v>
      </c>
      <c r="G28" s="29" t="s">
        <v>104</v>
      </c>
      <c r="H28" s="30" t="s">
        <v>194</v>
      </c>
      <c r="I28" s="30" t="s">
        <v>195</v>
      </c>
      <c r="J28" s="30" t="s">
        <v>196</v>
      </c>
      <c r="K28" s="31" t="s">
        <v>197</v>
      </c>
      <c r="L28" s="32">
        <v>699</v>
      </c>
      <c r="M28" s="31" t="s">
        <v>109</v>
      </c>
      <c r="N28" s="31" t="s">
        <v>198</v>
      </c>
      <c r="O28" s="32">
        <v>699</v>
      </c>
      <c r="P28" s="33">
        <v>349500000</v>
      </c>
      <c r="Q28" s="31"/>
      <c r="R28" s="33"/>
      <c r="S28" s="33"/>
      <c r="T28" s="34">
        <f t="shared" si="0"/>
        <v>349500000</v>
      </c>
      <c r="U28" s="35" t="s">
        <v>38</v>
      </c>
      <c r="V28" s="28"/>
    </row>
    <row r="29" spans="1:22" ht="48" x14ac:dyDescent="0.2">
      <c r="A29" s="28">
        <v>26</v>
      </c>
      <c r="B29" s="29" t="s">
        <v>25</v>
      </c>
      <c r="C29" s="29" t="s">
        <v>26</v>
      </c>
      <c r="D29" s="29" t="s">
        <v>199</v>
      </c>
      <c r="E29" s="29" t="s">
        <v>28</v>
      </c>
      <c r="F29" s="29" t="s">
        <v>29</v>
      </c>
      <c r="G29" s="29" t="s">
        <v>200</v>
      </c>
      <c r="H29" s="30" t="s">
        <v>201</v>
      </c>
      <c r="I29" s="30">
        <v>5402832</v>
      </c>
      <c r="J29" s="30" t="s">
        <v>202</v>
      </c>
      <c r="K29" s="31" t="s">
        <v>203</v>
      </c>
      <c r="L29" s="32">
        <v>716</v>
      </c>
      <c r="M29" s="31" t="s">
        <v>109</v>
      </c>
      <c r="N29" s="31" t="s">
        <v>204</v>
      </c>
      <c r="O29" s="32">
        <v>716</v>
      </c>
      <c r="P29" s="33">
        <v>100812800</v>
      </c>
      <c r="Q29" s="32">
        <v>1</v>
      </c>
      <c r="R29" s="33">
        <v>22081025</v>
      </c>
      <c r="S29" s="33">
        <v>546342175</v>
      </c>
      <c r="T29" s="34">
        <f t="shared" si="0"/>
        <v>669236000</v>
      </c>
      <c r="U29" s="35" t="s">
        <v>38</v>
      </c>
      <c r="V29" s="28"/>
    </row>
    <row r="30" spans="1:22" ht="48" x14ac:dyDescent="0.2">
      <c r="A30" s="28">
        <v>27</v>
      </c>
      <c r="B30" s="29" t="s">
        <v>25</v>
      </c>
      <c r="C30" s="29" t="s">
        <v>26</v>
      </c>
      <c r="D30" s="29" t="s">
        <v>205</v>
      </c>
      <c r="E30" s="29" t="s">
        <v>28</v>
      </c>
      <c r="F30" s="29" t="s">
        <v>29</v>
      </c>
      <c r="G30" s="29" t="s">
        <v>200</v>
      </c>
      <c r="H30" s="30" t="s">
        <v>206</v>
      </c>
      <c r="I30" s="30" t="s">
        <v>207</v>
      </c>
      <c r="J30" s="30" t="s">
        <v>208</v>
      </c>
      <c r="K30" s="31" t="s">
        <v>209</v>
      </c>
      <c r="L30" s="32">
        <v>700</v>
      </c>
      <c r="M30" s="31" t="s">
        <v>35</v>
      </c>
      <c r="N30" s="31" t="s">
        <v>210</v>
      </c>
      <c r="O30" s="32">
        <v>700</v>
      </c>
      <c r="P30" s="33">
        <v>822500000</v>
      </c>
      <c r="Q30" s="31" t="s">
        <v>211</v>
      </c>
      <c r="R30" s="33">
        <v>148568641</v>
      </c>
      <c r="S30" s="33">
        <v>228833359</v>
      </c>
      <c r="T30" s="34">
        <f t="shared" si="0"/>
        <v>1199902000</v>
      </c>
      <c r="U30" s="35" t="s">
        <v>38</v>
      </c>
      <c r="V30" s="28"/>
    </row>
    <row r="31" spans="1:22" ht="60" x14ac:dyDescent="0.2">
      <c r="A31" s="28">
        <v>28</v>
      </c>
      <c r="B31" s="29" t="s">
        <v>25</v>
      </c>
      <c r="C31" s="29" t="s">
        <v>26</v>
      </c>
      <c r="D31" s="29" t="s">
        <v>212</v>
      </c>
      <c r="E31" s="29" t="s">
        <v>28</v>
      </c>
      <c r="F31" s="29" t="s">
        <v>29</v>
      </c>
      <c r="G31" s="29" t="s">
        <v>213</v>
      </c>
      <c r="H31" s="30" t="s">
        <v>214</v>
      </c>
      <c r="I31" s="29" t="s">
        <v>215</v>
      </c>
      <c r="J31" s="30" t="s">
        <v>216</v>
      </c>
      <c r="K31" s="31" t="s">
        <v>217</v>
      </c>
      <c r="L31" s="32">
        <v>473</v>
      </c>
      <c r="M31" s="31" t="s">
        <v>50</v>
      </c>
      <c r="N31" s="31" t="s">
        <v>218</v>
      </c>
      <c r="O31" s="32">
        <v>473</v>
      </c>
      <c r="P31" s="33">
        <v>518530500</v>
      </c>
      <c r="Q31" s="31" t="s">
        <v>219</v>
      </c>
      <c r="R31" s="33">
        <v>32208280</v>
      </c>
      <c r="S31" s="33">
        <v>17833220</v>
      </c>
      <c r="T31" s="34">
        <f t="shared" si="0"/>
        <v>568572000</v>
      </c>
      <c r="U31" s="35" t="s">
        <v>38</v>
      </c>
      <c r="V31" s="28"/>
    </row>
    <row r="32" spans="1:22" ht="60" x14ac:dyDescent="0.2">
      <c r="A32" s="28">
        <v>29</v>
      </c>
      <c r="B32" s="29" t="s">
        <v>25</v>
      </c>
      <c r="C32" s="29" t="s">
        <v>26</v>
      </c>
      <c r="D32" s="29" t="s">
        <v>220</v>
      </c>
      <c r="E32" s="29" t="s">
        <v>28</v>
      </c>
      <c r="F32" s="29" t="s">
        <v>29</v>
      </c>
      <c r="G32" s="29" t="s">
        <v>221</v>
      </c>
      <c r="H32" s="30" t="s">
        <v>222</v>
      </c>
      <c r="I32" s="29" t="s">
        <v>223</v>
      </c>
      <c r="J32" s="30" t="s">
        <v>224</v>
      </c>
      <c r="K32" s="31" t="s">
        <v>225</v>
      </c>
      <c r="L32" s="32">
        <v>424</v>
      </c>
      <c r="M32" s="31" t="s">
        <v>50</v>
      </c>
      <c r="N32" s="31" t="s">
        <v>226</v>
      </c>
      <c r="O32" s="31">
        <v>424</v>
      </c>
      <c r="P32" s="33">
        <v>464813800</v>
      </c>
      <c r="Q32" s="31" t="s">
        <v>227</v>
      </c>
      <c r="R32" s="39">
        <v>78169150</v>
      </c>
      <c r="S32" s="33">
        <v>30219050</v>
      </c>
      <c r="T32" s="34">
        <f t="shared" si="0"/>
        <v>573202000</v>
      </c>
      <c r="U32" s="35" t="s">
        <v>38</v>
      </c>
      <c r="V32" s="28"/>
    </row>
    <row r="33" spans="1:22" ht="60" x14ac:dyDescent="0.2">
      <c r="A33" s="28">
        <v>30</v>
      </c>
      <c r="B33" s="29" t="s">
        <v>25</v>
      </c>
      <c r="C33" s="29" t="s">
        <v>26</v>
      </c>
      <c r="D33" s="29" t="s">
        <v>228</v>
      </c>
      <c r="E33" s="29" t="s">
        <v>28</v>
      </c>
      <c r="F33" s="29" t="s">
        <v>29</v>
      </c>
      <c r="G33" s="29" t="s">
        <v>221</v>
      </c>
      <c r="H33" s="30" t="s">
        <v>229</v>
      </c>
      <c r="I33" s="29" t="s">
        <v>230</v>
      </c>
      <c r="J33" s="30" t="s">
        <v>231</v>
      </c>
      <c r="K33" s="30">
        <v>1461501741</v>
      </c>
      <c r="L33" s="32">
        <v>308</v>
      </c>
      <c r="M33" s="30" t="s">
        <v>232</v>
      </c>
      <c r="N33" s="30" t="s">
        <v>233</v>
      </c>
      <c r="O33" s="31">
        <v>308</v>
      </c>
      <c r="P33" s="33">
        <v>361900000</v>
      </c>
      <c r="Q33" s="31"/>
      <c r="R33" s="33"/>
      <c r="S33" s="33">
        <v>10352000</v>
      </c>
      <c r="T33" s="34">
        <f t="shared" si="0"/>
        <v>372252000</v>
      </c>
      <c r="U33" s="35" t="s">
        <v>38</v>
      </c>
      <c r="V33" s="28"/>
    </row>
    <row r="34" spans="1:22" ht="60" x14ac:dyDescent="0.2">
      <c r="A34" s="28">
        <v>31</v>
      </c>
      <c r="B34" s="29" t="s">
        <v>25</v>
      </c>
      <c r="C34" s="29" t="s">
        <v>26</v>
      </c>
      <c r="D34" s="29" t="s">
        <v>234</v>
      </c>
      <c r="E34" s="29" t="s">
        <v>28</v>
      </c>
      <c r="F34" s="29" t="s">
        <v>29</v>
      </c>
      <c r="G34" s="29" t="s">
        <v>221</v>
      </c>
      <c r="H34" s="30" t="s">
        <v>235</v>
      </c>
      <c r="I34" s="29" t="s">
        <v>236</v>
      </c>
      <c r="J34" s="30" t="s">
        <v>237</v>
      </c>
      <c r="K34" s="40" t="s">
        <v>238</v>
      </c>
      <c r="L34" s="32">
        <v>241</v>
      </c>
      <c r="M34" s="31" t="s">
        <v>50</v>
      </c>
      <c r="N34" s="31" t="s">
        <v>239</v>
      </c>
      <c r="O34" s="32">
        <v>241</v>
      </c>
      <c r="P34" s="33">
        <v>283175000</v>
      </c>
      <c r="Q34" s="31"/>
      <c r="R34" s="33"/>
      <c r="S34" s="33">
        <v>11427000</v>
      </c>
      <c r="T34" s="34">
        <f t="shared" si="0"/>
        <v>294602000</v>
      </c>
      <c r="U34" s="35" t="s">
        <v>38</v>
      </c>
      <c r="V34" s="28"/>
    </row>
    <row r="35" spans="1:22" ht="60" x14ac:dyDescent="0.2">
      <c r="A35" s="28">
        <v>32</v>
      </c>
      <c r="B35" s="29" t="s">
        <v>25</v>
      </c>
      <c r="C35" s="29" t="s">
        <v>26</v>
      </c>
      <c r="D35" s="29" t="s">
        <v>240</v>
      </c>
      <c r="E35" s="29" t="s">
        <v>28</v>
      </c>
      <c r="F35" s="29" t="s">
        <v>29</v>
      </c>
      <c r="G35" s="29" t="s">
        <v>221</v>
      </c>
      <c r="H35" s="30" t="s">
        <v>235</v>
      </c>
      <c r="I35" s="29" t="s">
        <v>236</v>
      </c>
      <c r="J35" s="30" t="s">
        <v>241</v>
      </c>
      <c r="K35" s="31" t="s">
        <v>242</v>
      </c>
      <c r="L35" s="32">
        <v>242</v>
      </c>
      <c r="M35" s="31" t="s">
        <v>50</v>
      </c>
      <c r="N35" s="31" t="s">
        <v>243</v>
      </c>
      <c r="O35" s="32">
        <v>242</v>
      </c>
      <c r="P35" s="33">
        <v>284350000</v>
      </c>
      <c r="Q35" s="31"/>
      <c r="R35" s="33"/>
      <c r="S35" s="33">
        <v>9211000</v>
      </c>
      <c r="T35" s="34">
        <f t="shared" si="0"/>
        <v>293561000</v>
      </c>
      <c r="U35" s="35" t="s">
        <v>38</v>
      </c>
      <c r="V35" s="28"/>
    </row>
    <row r="36" spans="1:22" ht="60" x14ac:dyDescent="0.2">
      <c r="A36" s="28">
        <v>33</v>
      </c>
      <c r="B36" s="29" t="s">
        <v>25</v>
      </c>
      <c r="C36" s="29" t="s">
        <v>26</v>
      </c>
      <c r="D36" s="29" t="s">
        <v>244</v>
      </c>
      <c r="E36" s="29" t="s">
        <v>28</v>
      </c>
      <c r="F36" s="29" t="s">
        <v>29</v>
      </c>
      <c r="G36" s="29" t="s">
        <v>245</v>
      </c>
      <c r="H36" s="30" t="s">
        <v>246</v>
      </c>
      <c r="I36" s="29" t="s">
        <v>247</v>
      </c>
      <c r="J36" s="30" t="s">
        <v>248</v>
      </c>
      <c r="K36" s="31" t="s">
        <v>249</v>
      </c>
      <c r="L36" s="32">
        <v>425</v>
      </c>
      <c r="M36" s="31" t="s">
        <v>50</v>
      </c>
      <c r="N36" s="31" t="s">
        <v>250</v>
      </c>
      <c r="O36" s="32">
        <v>425</v>
      </c>
      <c r="P36" s="33">
        <v>499375000</v>
      </c>
      <c r="Q36" s="31"/>
      <c r="R36" s="33">
        <v>13941000</v>
      </c>
      <c r="S36" s="33">
        <v>18439000</v>
      </c>
      <c r="T36" s="34">
        <f t="shared" si="0"/>
        <v>531755000</v>
      </c>
      <c r="U36" s="35" t="s">
        <v>38</v>
      </c>
      <c r="V36" s="28"/>
    </row>
    <row r="37" spans="1:22" ht="60" x14ac:dyDescent="0.2">
      <c r="A37" s="28">
        <v>36</v>
      </c>
      <c r="B37" s="29" t="s">
        <v>25</v>
      </c>
      <c r="C37" s="29" t="s">
        <v>26</v>
      </c>
      <c r="D37" s="29" t="s">
        <v>251</v>
      </c>
      <c r="E37" s="29" t="s">
        <v>28</v>
      </c>
      <c r="F37" s="29" t="s">
        <v>29</v>
      </c>
      <c r="G37" s="29" t="s">
        <v>252</v>
      </c>
      <c r="H37" s="30" t="s">
        <v>253</v>
      </c>
      <c r="I37" s="29" t="s">
        <v>254</v>
      </c>
      <c r="J37" s="30" t="s">
        <v>255</v>
      </c>
      <c r="K37" s="31" t="s">
        <v>256</v>
      </c>
      <c r="L37" s="32">
        <v>255</v>
      </c>
      <c r="M37" s="31" t="s">
        <v>50</v>
      </c>
      <c r="N37" s="30"/>
      <c r="O37" s="32">
        <v>255</v>
      </c>
      <c r="P37" s="33">
        <v>299625000</v>
      </c>
      <c r="Q37" s="31" t="s">
        <v>257</v>
      </c>
      <c r="R37" s="33"/>
      <c r="S37" s="33">
        <v>1648000</v>
      </c>
      <c r="T37" s="34">
        <f t="shared" si="0"/>
        <v>301273000</v>
      </c>
      <c r="U37" s="35" t="s">
        <v>38</v>
      </c>
      <c r="V37" s="28"/>
    </row>
    <row r="38" spans="1:22" ht="60" x14ac:dyDescent="0.2">
      <c r="A38" s="28">
        <v>37</v>
      </c>
      <c r="B38" s="29" t="s">
        <v>25</v>
      </c>
      <c r="C38" s="29" t="s">
        <v>26</v>
      </c>
      <c r="D38" s="29" t="s">
        <v>258</v>
      </c>
      <c r="E38" s="29" t="s">
        <v>28</v>
      </c>
      <c r="F38" s="29" t="s">
        <v>29</v>
      </c>
      <c r="G38" s="29" t="s">
        <v>252</v>
      </c>
      <c r="H38" s="30" t="s">
        <v>253</v>
      </c>
      <c r="I38" s="29" t="s">
        <v>254</v>
      </c>
      <c r="J38" s="30" t="s">
        <v>259</v>
      </c>
      <c r="K38" s="31" t="s">
        <v>260</v>
      </c>
      <c r="L38" s="32">
        <v>317</v>
      </c>
      <c r="M38" s="31" t="s">
        <v>50</v>
      </c>
      <c r="N38" s="30"/>
      <c r="O38" s="32">
        <v>317</v>
      </c>
      <c r="P38" s="33">
        <v>372475000</v>
      </c>
      <c r="Q38" s="31" t="s">
        <v>257</v>
      </c>
      <c r="R38" s="33"/>
      <c r="S38" s="33">
        <v>3454000</v>
      </c>
      <c r="T38" s="34">
        <f t="shared" si="0"/>
        <v>375929000</v>
      </c>
      <c r="U38" s="35" t="s">
        <v>38</v>
      </c>
      <c r="V38" s="28"/>
    </row>
    <row r="39" spans="1:22" ht="60" x14ac:dyDescent="0.2">
      <c r="A39" s="28">
        <v>38</v>
      </c>
      <c r="B39" s="29" t="s">
        <v>25</v>
      </c>
      <c r="C39" s="29" t="s">
        <v>26</v>
      </c>
      <c r="D39" s="29" t="s">
        <v>261</v>
      </c>
      <c r="E39" s="29" t="s">
        <v>28</v>
      </c>
      <c r="F39" s="29" t="s">
        <v>29</v>
      </c>
      <c r="G39" s="29" t="s">
        <v>252</v>
      </c>
      <c r="H39" s="30" t="s">
        <v>253</v>
      </c>
      <c r="I39" s="29" t="s">
        <v>254</v>
      </c>
      <c r="J39" s="30" t="s">
        <v>262</v>
      </c>
      <c r="K39" s="31" t="s">
        <v>263</v>
      </c>
      <c r="L39" s="41">
        <v>371.82</v>
      </c>
      <c r="M39" s="31" t="s">
        <v>50</v>
      </c>
      <c r="N39" s="30"/>
      <c r="O39" s="41">
        <v>371.82</v>
      </c>
      <c r="P39" s="33">
        <v>436888500</v>
      </c>
      <c r="Q39" s="31" t="s">
        <v>257</v>
      </c>
      <c r="R39" s="33"/>
      <c r="S39" s="33">
        <v>21757500</v>
      </c>
      <c r="T39" s="34">
        <f t="shared" si="0"/>
        <v>458646000</v>
      </c>
      <c r="U39" s="35" t="s">
        <v>38</v>
      </c>
      <c r="V39" s="28"/>
    </row>
    <row r="40" spans="1:22" ht="72" x14ac:dyDescent="0.2">
      <c r="A40" s="28">
        <v>39</v>
      </c>
      <c r="B40" s="29" t="s">
        <v>25</v>
      </c>
      <c r="C40" s="29" t="s">
        <v>26</v>
      </c>
      <c r="D40" s="29" t="s">
        <v>264</v>
      </c>
      <c r="E40" s="29" t="s">
        <v>28</v>
      </c>
      <c r="F40" s="29" t="s">
        <v>29</v>
      </c>
      <c r="G40" s="29" t="s">
        <v>265</v>
      </c>
      <c r="H40" s="30" t="s">
        <v>266</v>
      </c>
      <c r="I40" s="29" t="s">
        <v>267</v>
      </c>
      <c r="J40" s="30" t="s">
        <v>268</v>
      </c>
      <c r="K40" s="31" t="s">
        <v>269</v>
      </c>
      <c r="L40" s="37">
        <v>388.4</v>
      </c>
      <c r="M40" s="31" t="s">
        <v>50</v>
      </c>
      <c r="N40" s="31"/>
      <c r="O40" s="37">
        <v>388.4</v>
      </c>
      <c r="P40" s="33">
        <v>456370000</v>
      </c>
      <c r="Q40" s="31" t="s">
        <v>257</v>
      </c>
      <c r="R40" s="33"/>
      <c r="S40" s="33">
        <v>8534000</v>
      </c>
      <c r="T40" s="34">
        <f t="shared" si="0"/>
        <v>464904000</v>
      </c>
      <c r="U40" s="35" t="s">
        <v>38</v>
      </c>
      <c r="V40" s="28"/>
    </row>
    <row r="41" spans="1:22" ht="72" x14ac:dyDescent="0.2">
      <c r="A41" s="28">
        <v>40</v>
      </c>
      <c r="B41" s="29" t="s">
        <v>25</v>
      </c>
      <c r="C41" s="29" t="s">
        <v>26</v>
      </c>
      <c r="D41" s="29" t="s">
        <v>270</v>
      </c>
      <c r="E41" s="29" t="s">
        <v>28</v>
      </c>
      <c r="F41" s="29" t="s">
        <v>29</v>
      </c>
      <c r="G41" s="29" t="s">
        <v>271</v>
      </c>
      <c r="H41" s="30" t="s">
        <v>272</v>
      </c>
      <c r="I41" s="38" t="s">
        <v>273</v>
      </c>
      <c r="J41" s="30" t="s">
        <v>274</v>
      </c>
      <c r="K41" s="31" t="s">
        <v>275</v>
      </c>
      <c r="L41" s="32">
        <v>323</v>
      </c>
      <c r="M41" s="31" t="s">
        <v>109</v>
      </c>
      <c r="N41" s="31" t="s">
        <v>276</v>
      </c>
      <c r="O41" s="32">
        <v>323</v>
      </c>
      <c r="P41" s="33">
        <v>197920000</v>
      </c>
      <c r="Q41" s="31"/>
      <c r="R41" s="33"/>
      <c r="S41" s="33"/>
      <c r="T41" s="34">
        <f t="shared" si="0"/>
        <v>197920000</v>
      </c>
      <c r="U41" s="35" t="s">
        <v>38</v>
      </c>
      <c r="V41" s="28"/>
    </row>
    <row r="42" spans="1:22" ht="60" x14ac:dyDescent="0.2">
      <c r="A42" s="28">
        <v>41</v>
      </c>
      <c r="B42" s="29" t="s">
        <v>25</v>
      </c>
      <c r="C42" s="29" t="s">
        <v>26</v>
      </c>
      <c r="D42" s="29" t="s">
        <v>277</v>
      </c>
      <c r="E42" s="29" t="s">
        <v>28</v>
      </c>
      <c r="F42" s="29" t="s">
        <v>29</v>
      </c>
      <c r="G42" s="29" t="s">
        <v>278</v>
      </c>
      <c r="H42" s="30" t="s">
        <v>279</v>
      </c>
      <c r="I42" s="38" t="s">
        <v>280</v>
      </c>
      <c r="J42" s="30" t="s">
        <v>281</v>
      </c>
      <c r="K42" s="31" t="s">
        <v>282</v>
      </c>
      <c r="L42" s="32">
        <v>321</v>
      </c>
      <c r="M42" s="31" t="s">
        <v>50</v>
      </c>
      <c r="N42" s="31" t="s">
        <v>283</v>
      </c>
      <c r="O42" s="32">
        <v>321</v>
      </c>
      <c r="P42" s="33">
        <v>454536000</v>
      </c>
      <c r="Q42" s="31" t="s">
        <v>284</v>
      </c>
      <c r="R42" s="33">
        <v>189530300</v>
      </c>
      <c r="S42" s="33">
        <v>47526700</v>
      </c>
      <c r="T42" s="34">
        <f t="shared" si="0"/>
        <v>691593000</v>
      </c>
      <c r="U42" s="35" t="s">
        <v>38</v>
      </c>
      <c r="V42" s="28"/>
    </row>
    <row r="43" spans="1:22" ht="60" x14ac:dyDescent="0.2">
      <c r="A43" s="28">
        <v>42</v>
      </c>
      <c r="B43" s="29" t="s">
        <v>25</v>
      </c>
      <c r="C43" s="29" t="s">
        <v>26</v>
      </c>
      <c r="D43" s="29" t="s">
        <v>285</v>
      </c>
      <c r="E43" s="29" t="s">
        <v>28</v>
      </c>
      <c r="F43" s="29" t="s">
        <v>29</v>
      </c>
      <c r="G43" s="29" t="s">
        <v>278</v>
      </c>
      <c r="H43" s="30" t="s">
        <v>279</v>
      </c>
      <c r="I43" s="38" t="s">
        <v>280</v>
      </c>
      <c r="J43" s="30" t="s">
        <v>286</v>
      </c>
      <c r="K43" s="30">
        <v>1461502303</v>
      </c>
      <c r="L43" s="32">
        <v>450</v>
      </c>
      <c r="M43" s="31" t="s">
        <v>50</v>
      </c>
      <c r="N43" s="31" t="s">
        <v>287</v>
      </c>
      <c r="O43" s="32">
        <v>450</v>
      </c>
      <c r="P43" s="33">
        <v>637200000</v>
      </c>
      <c r="Q43" s="31" t="s">
        <v>288</v>
      </c>
      <c r="R43" s="33">
        <v>928265900</v>
      </c>
      <c r="S43" s="33">
        <v>94605100</v>
      </c>
      <c r="T43" s="34">
        <f t="shared" si="0"/>
        <v>1660071000</v>
      </c>
      <c r="U43" s="35" t="s">
        <v>38</v>
      </c>
      <c r="V43" s="28"/>
    </row>
    <row r="44" spans="1:22" ht="60" x14ac:dyDescent="0.2">
      <c r="A44" s="28">
        <v>43</v>
      </c>
      <c r="B44" s="29" t="s">
        <v>25</v>
      </c>
      <c r="C44" s="29" t="s">
        <v>26</v>
      </c>
      <c r="D44" s="29" t="s">
        <v>289</v>
      </c>
      <c r="E44" s="29" t="s">
        <v>28</v>
      </c>
      <c r="F44" s="29" t="s">
        <v>29</v>
      </c>
      <c r="G44" s="29" t="s">
        <v>278</v>
      </c>
      <c r="H44" s="30" t="s">
        <v>279</v>
      </c>
      <c r="I44" s="38" t="s">
        <v>280</v>
      </c>
      <c r="J44" s="30" t="s">
        <v>290</v>
      </c>
      <c r="K44" s="31" t="s">
        <v>291</v>
      </c>
      <c r="L44" s="32">
        <v>251</v>
      </c>
      <c r="M44" s="31" t="s">
        <v>50</v>
      </c>
      <c r="N44" s="31" t="s">
        <v>292</v>
      </c>
      <c r="O44" s="32">
        <v>251</v>
      </c>
      <c r="P44" s="33">
        <v>355416000</v>
      </c>
      <c r="Q44" s="31"/>
      <c r="R44" s="33"/>
      <c r="S44" s="33">
        <v>16414000</v>
      </c>
      <c r="T44" s="34">
        <f t="shared" si="0"/>
        <v>371830000</v>
      </c>
      <c r="U44" s="35" t="s">
        <v>38</v>
      </c>
      <c r="V44" s="28"/>
    </row>
    <row r="45" spans="1:22" ht="60" x14ac:dyDescent="0.2">
      <c r="A45" s="28">
        <v>44</v>
      </c>
      <c r="B45" s="29" t="s">
        <v>25</v>
      </c>
      <c r="C45" s="29" t="s">
        <v>26</v>
      </c>
      <c r="D45" s="29" t="s">
        <v>293</v>
      </c>
      <c r="E45" s="29" t="s">
        <v>28</v>
      </c>
      <c r="F45" s="29" t="s">
        <v>29</v>
      </c>
      <c r="G45" s="29" t="s">
        <v>278</v>
      </c>
      <c r="H45" s="30" t="s">
        <v>294</v>
      </c>
      <c r="I45" s="38" t="s">
        <v>295</v>
      </c>
      <c r="J45" s="30" t="s">
        <v>296</v>
      </c>
      <c r="K45" s="31" t="s">
        <v>297</v>
      </c>
      <c r="L45" s="41">
        <v>457.11</v>
      </c>
      <c r="M45" s="31" t="s">
        <v>50</v>
      </c>
      <c r="N45" s="31" t="s">
        <v>298</v>
      </c>
      <c r="O45" s="41">
        <v>457.11</v>
      </c>
      <c r="P45" s="33">
        <v>536975000</v>
      </c>
      <c r="Q45" s="31"/>
      <c r="R45" s="33">
        <v>124433170</v>
      </c>
      <c r="S45" s="33">
        <v>64672830</v>
      </c>
      <c r="T45" s="34">
        <f t="shared" si="0"/>
        <v>726081000</v>
      </c>
      <c r="U45" s="35" t="s">
        <v>38</v>
      </c>
      <c r="V45" s="28"/>
    </row>
    <row r="46" spans="1:22" s="43" customFormat="1" ht="60" x14ac:dyDescent="0.2">
      <c r="A46" s="28">
        <v>45</v>
      </c>
      <c r="B46" s="29" t="s">
        <v>25</v>
      </c>
      <c r="C46" s="29" t="s">
        <v>26</v>
      </c>
      <c r="D46" s="29" t="s">
        <v>299</v>
      </c>
      <c r="E46" s="29" t="s">
        <v>28</v>
      </c>
      <c r="F46" s="29" t="s">
        <v>29</v>
      </c>
      <c r="G46" s="29" t="s">
        <v>278</v>
      </c>
      <c r="H46" s="30" t="s">
        <v>300</v>
      </c>
      <c r="I46" s="38" t="s">
        <v>295</v>
      </c>
      <c r="J46" s="30" t="s">
        <v>301</v>
      </c>
      <c r="K46" s="31" t="s">
        <v>302</v>
      </c>
      <c r="L46" s="41">
        <v>370.03</v>
      </c>
      <c r="M46" s="31" t="s">
        <v>50</v>
      </c>
      <c r="N46" s="31" t="s">
        <v>303</v>
      </c>
      <c r="O46" s="41">
        <v>370.03</v>
      </c>
      <c r="P46" s="33">
        <v>434750000</v>
      </c>
      <c r="Q46" s="31"/>
      <c r="R46" s="33">
        <v>1774427050</v>
      </c>
      <c r="S46" s="33">
        <v>181003950</v>
      </c>
      <c r="T46" s="34">
        <f t="shared" si="0"/>
        <v>2390181000</v>
      </c>
      <c r="U46" s="35" t="s">
        <v>38</v>
      </c>
      <c r="V46" s="42"/>
    </row>
    <row r="47" spans="1:22" s="55" customFormat="1" x14ac:dyDescent="0.2">
      <c r="A47" s="44"/>
      <c r="B47" s="45"/>
      <c r="C47" s="45"/>
      <c r="D47" s="45"/>
      <c r="E47" s="45"/>
      <c r="F47" s="45"/>
      <c r="G47" s="45"/>
      <c r="H47" s="46"/>
      <c r="I47" s="47"/>
      <c r="J47" s="46"/>
      <c r="K47" s="48"/>
      <c r="L47" s="49">
        <f>SUM(L4:L46)</f>
        <v>19607.16</v>
      </c>
      <c r="M47" s="48"/>
      <c r="N47" s="50"/>
      <c r="O47" s="49">
        <f>SUM(O4:O46)</f>
        <v>19607.16</v>
      </c>
      <c r="P47" s="51">
        <f>SUM(P4:P46)</f>
        <v>18348337380</v>
      </c>
      <c r="Q47" s="48"/>
      <c r="R47" s="51">
        <f>SUM(R4:R46)</f>
        <v>6259239431</v>
      </c>
      <c r="S47" s="51">
        <f>SUM(S4:S46)</f>
        <v>1802431189</v>
      </c>
      <c r="T47" s="52">
        <f>SUM(T4:T46)</f>
        <v>26410008000</v>
      </c>
      <c r="U47" s="53"/>
      <c r="V47" s="54"/>
    </row>
    <row r="48" spans="1:22" ht="60" x14ac:dyDescent="0.2">
      <c r="A48" s="28">
        <v>46</v>
      </c>
      <c r="B48" s="29" t="s">
        <v>25</v>
      </c>
      <c r="C48" s="29" t="s">
        <v>304</v>
      </c>
      <c r="D48" s="56" t="s">
        <v>305</v>
      </c>
      <c r="E48" s="29" t="s">
        <v>306</v>
      </c>
      <c r="F48" s="29" t="s">
        <v>29</v>
      </c>
      <c r="G48" s="25" t="s">
        <v>307</v>
      </c>
      <c r="H48" s="57" t="s">
        <v>308</v>
      </c>
      <c r="I48" s="58" t="s">
        <v>309</v>
      </c>
      <c r="J48" s="57" t="s">
        <v>310</v>
      </c>
      <c r="K48" s="59">
        <v>1461502540</v>
      </c>
      <c r="L48" s="60">
        <v>359</v>
      </c>
      <c r="M48" s="59" t="s">
        <v>311</v>
      </c>
      <c r="N48" s="61" t="s">
        <v>312</v>
      </c>
      <c r="O48" s="61">
        <v>359</v>
      </c>
      <c r="P48" s="62">
        <v>337359480</v>
      </c>
      <c r="Q48" s="59" t="s">
        <v>257</v>
      </c>
      <c r="R48" s="63"/>
      <c r="S48" s="64">
        <v>16589520</v>
      </c>
      <c r="T48" s="34">
        <f>P48+R48+S48</f>
        <v>353949000</v>
      </c>
      <c r="U48" s="65"/>
      <c r="V48" s="28"/>
    </row>
    <row r="49" spans="1:22" ht="72" x14ac:dyDescent="0.2">
      <c r="A49" s="36">
        <v>47</v>
      </c>
      <c r="B49" s="29" t="s">
        <v>25</v>
      </c>
      <c r="C49" s="29" t="s">
        <v>304</v>
      </c>
      <c r="D49" s="56" t="s">
        <v>305</v>
      </c>
      <c r="E49" s="29" t="s">
        <v>306</v>
      </c>
      <c r="F49" s="29" t="s">
        <v>29</v>
      </c>
      <c r="G49" s="25" t="s">
        <v>307</v>
      </c>
      <c r="H49" s="57" t="s">
        <v>313</v>
      </c>
      <c r="I49" s="58" t="s">
        <v>314</v>
      </c>
      <c r="J49" s="57" t="s">
        <v>315</v>
      </c>
      <c r="K49" s="59">
        <v>1461502055</v>
      </c>
      <c r="L49" s="60">
        <v>219</v>
      </c>
      <c r="M49" s="59" t="s">
        <v>311</v>
      </c>
      <c r="N49" s="61" t="s">
        <v>316</v>
      </c>
      <c r="O49" s="61">
        <v>219</v>
      </c>
      <c r="P49" s="62">
        <v>205799000</v>
      </c>
      <c r="Q49" s="59" t="s">
        <v>257</v>
      </c>
      <c r="R49" s="63"/>
      <c r="S49" s="64"/>
      <c r="T49" s="34">
        <f t="shared" ref="T49:T57" si="1">P49+R49+S49</f>
        <v>205799000</v>
      </c>
    </row>
    <row r="50" spans="1:22" ht="72" x14ac:dyDescent="0.2">
      <c r="A50" s="28">
        <v>48</v>
      </c>
      <c r="B50" s="29" t="s">
        <v>25</v>
      </c>
      <c r="C50" s="29" t="s">
        <v>304</v>
      </c>
      <c r="D50" s="56" t="s">
        <v>305</v>
      </c>
      <c r="E50" s="29" t="s">
        <v>306</v>
      </c>
      <c r="F50" s="29" t="s">
        <v>29</v>
      </c>
      <c r="G50" s="25" t="s">
        <v>307</v>
      </c>
      <c r="H50" s="57" t="s">
        <v>317</v>
      </c>
      <c r="I50" s="58" t="s">
        <v>318</v>
      </c>
      <c r="J50" s="57" t="s">
        <v>319</v>
      </c>
      <c r="K50" s="59">
        <v>1461501922</v>
      </c>
      <c r="L50" s="60">
        <v>357</v>
      </c>
      <c r="M50" s="59" t="s">
        <v>311</v>
      </c>
      <c r="N50" s="61" t="s">
        <v>320</v>
      </c>
      <c r="O50" s="61">
        <v>357</v>
      </c>
      <c r="P50" s="62">
        <v>335480000</v>
      </c>
      <c r="Q50" s="59" t="s">
        <v>257</v>
      </c>
      <c r="R50" s="63"/>
      <c r="S50" s="64"/>
      <c r="T50" s="34">
        <f t="shared" si="1"/>
        <v>335480000</v>
      </c>
    </row>
    <row r="51" spans="1:22" ht="72" x14ac:dyDescent="0.2">
      <c r="A51" s="36">
        <v>49</v>
      </c>
      <c r="B51" s="29" t="s">
        <v>25</v>
      </c>
      <c r="C51" s="29" t="s">
        <v>304</v>
      </c>
      <c r="D51" s="56" t="s">
        <v>305</v>
      </c>
      <c r="E51" s="29" t="s">
        <v>306</v>
      </c>
      <c r="F51" s="29" t="s">
        <v>29</v>
      </c>
      <c r="G51" s="25" t="s">
        <v>307</v>
      </c>
      <c r="H51" s="59" t="s">
        <v>321</v>
      </c>
      <c r="I51" s="58" t="s">
        <v>322</v>
      </c>
      <c r="J51" s="59" t="s">
        <v>323</v>
      </c>
      <c r="K51" s="59">
        <v>1461502551</v>
      </c>
      <c r="L51" s="60">
        <v>699</v>
      </c>
      <c r="M51" s="59" t="s">
        <v>311</v>
      </c>
      <c r="N51" s="61" t="s">
        <v>324</v>
      </c>
      <c r="O51" s="67">
        <v>699</v>
      </c>
      <c r="P51" s="64">
        <v>656865000</v>
      </c>
      <c r="Q51" s="59" t="s">
        <v>257</v>
      </c>
      <c r="R51" s="63"/>
      <c r="S51" s="64"/>
      <c r="T51" s="34">
        <f t="shared" si="1"/>
        <v>656865000</v>
      </c>
    </row>
    <row r="52" spans="1:22" ht="60" x14ac:dyDescent="0.2">
      <c r="A52" s="28">
        <v>50</v>
      </c>
      <c r="B52" s="29" t="s">
        <v>25</v>
      </c>
      <c r="C52" s="29" t="s">
        <v>304</v>
      </c>
      <c r="D52" s="56" t="s">
        <v>305</v>
      </c>
      <c r="E52" s="29" t="s">
        <v>306</v>
      </c>
      <c r="F52" s="29" t="s">
        <v>29</v>
      </c>
      <c r="G52" s="25" t="s">
        <v>307</v>
      </c>
      <c r="H52" s="59" t="s">
        <v>325</v>
      </c>
      <c r="I52" s="58" t="s">
        <v>326</v>
      </c>
      <c r="J52" s="59" t="s">
        <v>327</v>
      </c>
      <c r="K52" s="59">
        <v>1461502748</v>
      </c>
      <c r="L52" s="60">
        <v>247</v>
      </c>
      <c r="M52" s="59" t="s">
        <v>311</v>
      </c>
      <c r="N52" s="61" t="s">
        <v>328</v>
      </c>
      <c r="O52" s="67">
        <v>247</v>
      </c>
      <c r="P52" s="64">
        <v>232110840</v>
      </c>
      <c r="Q52" s="59" t="s">
        <v>329</v>
      </c>
      <c r="R52" s="63">
        <v>210457905</v>
      </c>
      <c r="S52" s="64">
        <v>84549255</v>
      </c>
      <c r="T52" s="34">
        <f t="shared" si="1"/>
        <v>527118000</v>
      </c>
    </row>
    <row r="53" spans="1:22" ht="60" x14ac:dyDescent="0.2">
      <c r="A53" s="36">
        <v>51</v>
      </c>
      <c r="B53" s="29" t="s">
        <v>25</v>
      </c>
      <c r="C53" s="29" t="s">
        <v>304</v>
      </c>
      <c r="D53" s="56" t="s">
        <v>305</v>
      </c>
      <c r="E53" s="29" t="s">
        <v>306</v>
      </c>
      <c r="F53" s="29" t="s">
        <v>29</v>
      </c>
      <c r="G53" s="28" t="s">
        <v>330</v>
      </c>
      <c r="H53" s="68" t="s">
        <v>331</v>
      </c>
      <c r="I53" s="28" t="s">
        <v>332</v>
      </c>
      <c r="J53" s="59" t="s">
        <v>333</v>
      </c>
      <c r="K53" s="68">
        <v>1461502199</v>
      </c>
      <c r="L53" s="69">
        <v>200</v>
      </c>
      <c r="M53" s="59" t="s">
        <v>50</v>
      </c>
      <c r="N53" s="69" t="s">
        <v>334</v>
      </c>
      <c r="O53" s="68">
        <v>200</v>
      </c>
      <c r="P53" s="70">
        <v>235000000</v>
      </c>
      <c r="Q53" s="57" t="s">
        <v>335</v>
      </c>
      <c r="R53" s="71">
        <v>428933470</v>
      </c>
      <c r="S53" s="72">
        <v>73277530</v>
      </c>
      <c r="T53" s="34">
        <f t="shared" si="1"/>
        <v>737211000</v>
      </c>
    </row>
    <row r="54" spans="1:22" ht="60" x14ac:dyDescent="0.2">
      <c r="A54" s="73">
        <v>52</v>
      </c>
      <c r="B54" s="74" t="s">
        <v>25</v>
      </c>
      <c r="C54" s="74" t="s">
        <v>304</v>
      </c>
      <c r="D54" s="75" t="s">
        <v>305</v>
      </c>
      <c r="E54" s="74" t="s">
        <v>306</v>
      </c>
      <c r="F54" s="74" t="s">
        <v>29</v>
      </c>
      <c r="G54" s="28" t="s">
        <v>330</v>
      </c>
      <c r="H54" s="76" t="s">
        <v>336</v>
      </c>
      <c r="I54" s="73" t="s">
        <v>337</v>
      </c>
      <c r="J54" s="77" t="s">
        <v>338</v>
      </c>
      <c r="K54" s="76">
        <v>1461502220</v>
      </c>
      <c r="L54" s="78">
        <v>298</v>
      </c>
      <c r="M54" s="77" t="s">
        <v>50</v>
      </c>
      <c r="N54" s="76" t="s">
        <v>339</v>
      </c>
      <c r="O54" s="78">
        <v>298</v>
      </c>
      <c r="P54" s="79">
        <v>350150000</v>
      </c>
      <c r="Q54" s="77" t="s">
        <v>340</v>
      </c>
      <c r="R54" s="80">
        <v>310418630</v>
      </c>
      <c r="S54" s="79">
        <v>38636370</v>
      </c>
      <c r="T54" s="34">
        <f t="shared" si="1"/>
        <v>699205000</v>
      </c>
    </row>
    <row r="55" spans="1:22" ht="60" x14ac:dyDescent="0.2">
      <c r="A55" s="28">
        <v>53</v>
      </c>
      <c r="B55" s="29" t="s">
        <v>25</v>
      </c>
      <c r="C55" s="29" t="s">
        <v>304</v>
      </c>
      <c r="D55" s="56" t="s">
        <v>305</v>
      </c>
      <c r="E55" s="29" t="s">
        <v>306</v>
      </c>
      <c r="F55" s="29" t="s">
        <v>29</v>
      </c>
      <c r="G55" s="28" t="s">
        <v>330</v>
      </c>
      <c r="H55" s="59" t="s">
        <v>341</v>
      </c>
      <c r="I55" s="28" t="s">
        <v>342</v>
      </c>
      <c r="J55" s="59" t="s">
        <v>343</v>
      </c>
      <c r="K55" s="59">
        <v>1461502539</v>
      </c>
      <c r="L55" s="60">
        <v>534</v>
      </c>
      <c r="M55" s="59" t="s">
        <v>311</v>
      </c>
      <c r="N55" s="59">
        <v>538584</v>
      </c>
      <c r="O55" s="60">
        <v>534</v>
      </c>
      <c r="P55" s="81">
        <v>501810480</v>
      </c>
      <c r="Q55" s="59" t="s">
        <v>257</v>
      </c>
      <c r="R55" s="63">
        <v>303852040</v>
      </c>
      <c r="S55" s="81">
        <v>110458480</v>
      </c>
      <c r="T55" s="34">
        <f t="shared" si="1"/>
        <v>916121000</v>
      </c>
      <c r="U55" s="65"/>
      <c r="V55" s="28"/>
    </row>
    <row r="56" spans="1:22" ht="60" x14ac:dyDescent="0.2">
      <c r="A56" s="73">
        <v>54</v>
      </c>
      <c r="B56" s="29" t="s">
        <v>25</v>
      </c>
      <c r="C56" s="29" t="s">
        <v>304</v>
      </c>
      <c r="D56" s="56" t="s">
        <v>305</v>
      </c>
      <c r="E56" s="29" t="s">
        <v>306</v>
      </c>
      <c r="F56" s="29" t="s">
        <v>29</v>
      </c>
      <c r="G56" s="28" t="s">
        <v>344</v>
      </c>
      <c r="H56" s="56" t="s">
        <v>345</v>
      </c>
      <c r="I56" s="28" t="s">
        <v>346</v>
      </c>
      <c r="J56" s="59" t="s">
        <v>347</v>
      </c>
      <c r="K56" s="28">
        <v>1461502270</v>
      </c>
      <c r="L56" s="28">
        <v>197.91</v>
      </c>
      <c r="M56" s="77" t="s">
        <v>50</v>
      </c>
      <c r="N56" s="28" t="s">
        <v>348</v>
      </c>
      <c r="O56" s="28">
        <v>197.91</v>
      </c>
      <c r="P56" s="65">
        <v>232544250</v>
      </c>
      <c r="Q56" s="28" t="s">
        <v>349</v>
      </c>
      <c r="R56" s="65">
        <v>238800495</v>
      </c>
      <c r="S56" s="65">
        <v>62598255</v>
      </c>
      <c r="T56" s="65">
        <f t="shared" si="1"/>
        <v>533943000</v>
      </c>
      <c r="U56" s="65"/>
      <c r="V56" s="28"/>
    </row>
    <row r="57" spans="1:22" ht="60" x14ac:dyDescent="0.2">
      <c r="A57" s="28">
        <v>55</v>
      </c>
      <c r="B57" s="29" t="s">
        <v>25</v>
      </c>
      <c r="C57" s="29" t="s">
        <v>304</v>
      </c>
      <c r="D57" s="56" t="s">
        <v>305</v>
      </c>
      <c r="E57" s="29" t="s">
        <v>306</v>
      </c>
      <c r="F57" s="29" t="s">
        <v>29</v>
      </c>
      <c r="G57" s="28" t="s">
        <v>344</v>
      </c>
      <c r="H57" s="56" t="s">
        <v>350</v>
      </c>
      <c r="I57" s="28" t="s">
        <v>351</v>
      </c>
      <c r="J57" s="59" t="s">
        <v>352</v>
      </c>
      <c r="K57" s="28">
        <v>1461502219</v>
      </c>
      <c r="L57" s="28">
        <v>137</v>
      </c>
      <c r="M57" s="77" t="s">
        <v>50</v>
      </c>
      <c r="N57" s="28" t="s">
        <v>353</v>
      </c>
      <c r="O57" s="28">
        <v>137</v>
      </c>
      <c r="P57" s="65">
        <v>160975000</v>
      </c>
      <c r="Q57" s="28" t="s">
        <v>354</v>
      </c>
      <c r="R57" s="65">
        <v>418551525</v>
      </c>
      <c r="S57" s="65">
        <v>79937475</v>
      </c>
      <c r="T57" s="65">
        <f t="shared" si="1"/>
        <v>659464000</v>
      </c>
      <c r="U57" s="65"/>
      <c r="V57" s="28"/>
    </row>
    <row r="58" spans="1:22" ht="60" x14ac:dyDescent="0.2">
      <c r="A58" s="73">
        <v>56</v>
      </c>
      <c r="B58" s="29" t="s">
        <v>25</v>
      </c>
      <c r="C58" s="29" t="s">
        <v>304</v>
      </c>
      <c r="D58" s="56" t="s">
        <v>305</v>
      </c>
      <c r="E58" s="29" t="s">
        <v>306</v>
      </c>
      <c r="F58" s="29" t="s">
        <v>29</v>
      </c>
      <c r="G58" s="28" t="s">
        <v>355</v>
      </c>
      <c r="H58" s="56" t="s">
        <v>356</v>
      </c>
      <c r="I58" s="28" t="s">
        <v>357</v>
      </c>
      <c r="J58" s="59" t="s">
        <v>358</v>
      </c>
      <c r="K58" s="28">
        <v>1461502081</v>
      </c>
      <c r="L58" s="28">
        <v>416</v>
      </c>
      <c r="M58" s="77" t="s">
        <v>50</v>
      </c>
      <c r="N58" s="28" t="s">
        <v>359</v>
      </c>
      <c r="O58" s="28">
        <v>416</v>
      </c>
      <c r="P58" s="65">
        <v>488800000</v>
      </c>
      <c r="Q58" s="28"/>
      <c r="R58" s="65"/>
      <c r="S58" s="65">
        <v>6326000</v>
      </c>
      <c r="T58" s="65">
        <f>SUM(P58,R58,S58)</f>
        <v>495126000</v>
      </c>
      <c r="U58" s="65"/>
      <c r="V58" s="28"/>
    </row>
    <row r="59" spans="1:22" ht="60" x14ac:dyDescent="0.2">
      <c r="A59" s="28">
        <v>57</v>
      </c>
      <c r="B59" s="29" t="s">
        <v>25</v>
      </c>
      <c r="C59" s="29" t="s">
        <v>304</v>
      </c>
      <c r="D59" s="56" t="s">
        <v>305</v>
      </c>
      <c r="E59" s="29" t="s">
        <v>306</v>
      </c>
      <c r="F59" s="29" t="s">
        <v>29</v>
      </c>
      <c r="G59" s="28" t="s">
        <v>355</v>
      </c>
      <c r="H59" s="56" t="s">
        <v>360</v>
      </c>
      <c r="I59" s="28" t="s">
        <v>361</v>
      </c>
      <c r="J59" s="59" t="s">
        <v>362</v>
      </c>
      <c r="K59" s="28">
        <v>1461502114</v>
      </c>
      <c r="L59" s="28">
        <v>269</v>
      </c>
      <c r="M59" s="77" t="s">
        <v>50</v>
      </c>
      <c r="N59" s="28" t="s">
        <v>363</v>
      </c>
      <c r="O59" s="28">
        <v>269</v>
      </c>
      <c r="P59" s="65">
        <v>316075000</v>
      </c>
      <c r="Q59" s="28"/>
      <c r="R59" s="65"/>
      <c r="S59" s="65">
        <v>9719000</v>
      </c>
      <c r="T59" s="65">
        <f>SUM(P59,R59,S59)</f>
        <v>325794000</v>
      </c>
      <c r="U59" s="65"/>
      <c r="V59" s="28"/>
    </row>
    <row r="60" spans="1:22" ht="60" x14ac:dyDescent="0.2">
      <c r="A60" s="73">
        <v>58</v>
      </c>
      <c r="B60" s="29" t="s">
        <v>25</v>
      </c>
      <c r="C60" s="29" t="s">
        <v>304</v>
      </c>
      <c r="D60" s="56" t="s">
        <v>305</v>
      </c>
      <c r="E60" s="29" t="s">
        <v>306</v>
      </c>
      <c r="F60" s="29" t="s">
        <v>29</v>
      </c>
      <c r="G60" s="28" t="s">
        <v>364</v>
      </c>
      <c r="H60" s="56" t="s">
        <v>365</v>
      </c>
      <c r="I60" s="28"/>
      <c r="J60" s="59" t="s">
        <v>366</v>
      </c>
      <c r="K60" s="28">
        <v>1461502884</v>
      </c>
      <c r="L60" s="28">
        <v>3357</v>
      </c>
      <c r="M60" s="77" t="s">
        <v>311</v>
      </c>
      <c r="N60" s="28" t="s">
        <v>367</v>
      </c>
      <c r="O60" s="28">
        <v>3357</v>
      </c>
      <c r="P60" s="65">
        <v>3154640040</v>
      </c>
      <c r="Q60" s="28"/>
      <c r="R60" s="65"/>
      <c r="S60" s="65">
        <v>101018960</v>
      </c>
      <c r="T60" s="65">
        <f>SUM(P60,R60,S60)</f>
        <v>3255659000</v>
      </c>
      <c r="U60" s="65"/>
      <c r="V60" s="28"/>
    </row>
    <row r="61" spans="1:22" ht="60" x14ac:dyDescent="0.2">
      <c r="A61" s="28">
        <v>59</v>
      </c>
      <c r="B61" s="29" t="s">
        <v>25</v>
      </c>
      <c r="C61" s="29" t="s">
        <v>304</v>
      </c>
      <c r="D61" s="56" t="s">
        <v>305</v>
      </c>
      <c r="E61" s="29" t="s">
        <v>306</v>
      </c>
      <c r="F61" s="29" t="s">
        <v>29</v>
      </c>
      <c r="G61" s="56" t="s">
        <v>368</v>
      </c>
      <c r="H61" s="56" t="s">
        <v>369</v>
      </c>
      <c r="I61" s="28" t="s">
        <v>370</v>
      </c>
      <c r="J61" s="59" t="s">
        <v>371</v>
      </c>
      <c r="K61" s="28">
        <v>1461502246</v>
      </c>
      <c r="L61" s="28">
        <v>346</v>
      </c>
      <c r="M61" s="77" t="s">
        <v>35</v>
      </c>
      <c r="N61" s="28" t="s">
        <v>372</v>
      </c>
      <c r="O61" s="28">
        <v>346</v>
      </c>
      <c r="P61" s="65">
        <v>407725000</v>
      </c>
      <c r="Q61" s="28" t="s">
        <v>373</v>
      </c>
      <c r="R61" s="65">
        <v>429974760</v>
      </c>
      <c r="S61" s="65">
        <v>129716240</v>
      </c>
      <c r="T61" s="65">
        <f>SUM(P61,R61,S61)</f>
        <v>967416000</v>
      </c>
      <c r="U61" s="65"/>
      <c r="V61" s="28"/>
    </row>
    <row r="62" spans="1:22" x14ac:dyDescent="0.2">
      <c r="A62" s="28"/>
      <c r="B62" s="29"/>
      <c r="C62" s="29"/>
      <c r="D62" s="56"/>
      <c r="E62" s="29"/>
      <c r="F62" s="29"/>
      <c r="G62" s="56"/>
      <c r="H62" s="56"/>
      <c r="I62" s="28"/>
      <c r="J62" s="59"/>
      <c r="K62" s="28"/>
      <c r="L62" s="28"/>
      <c r="M62" s="77"/>
      <c r="N62" s="28"/>
      <c r="O62" s="28"/>
      <c r="P62" s="65"/>
      <c r="Q62" s="28"/>
      <c r="R62" s="65"/>
      <c r="S62" s="65"/>
      <c r="T62" s="65"/>
      <c r="U62" s="65"/>
      <c r="V62" s="28"/>
    </row>
    <row r="63" spans="1:22" x14ac:dyDescent="0.2">
      <c r="A63" s="28"/>
      <c r="B63" s="29"/>
      <c r="C63" s="29"/>
      <c r="D63" s="56"/>
      <c r="E63" s="29"/>
      <c r="F63" s="29"/>
      <c r="G63" s="56"/>
      <c r="H63" s="56"/>
      <c r="I63" s="28"/>
      <c r="J63" s="59"/>
      <c r="K63" s="28"/>
      <c r="L63" s="28"/>
      <c r="M63" s="77"/>
      <c r="N63" s="28"/>
      <c r="O63" s="28"/>
      <c r="P63" s="65"/>
      <c r="Q63" s="28"/>
      <c r="R63" s="65"/>
      <c r="S63" s="65"/>
      <c r="T63" s="65"/>
      <c r="U63" s="65"/>
      <c r="V63" s="28"/>
    </row>
    <row r="64" spans="1:22" x14ac:dyDescent="0.2">
      <c r="A64" s="28"/>
      <c r="B64" s="29"/>
      <c r="C64" s="29"/>
      <c r="D64" s="56"/>
      <c r="E64" s="29"/>
      <c r="F64" s="29"/>
      <c r="G64" s="28"/>
      <c r="H64" s="56"/>
      <c r="I64" s="28"/>
      <c r="J64" s="59"/>
      <c r="K64" s="28"/>
      <c r="L64" s="28"/>
      <c r="M64" s="77"/>
      <c r="N64" s="28"/>
      <c r="O64" s="28"/>
      <c r="P64" s="65"/>
      <c r="Q64" s="28"/>
      <c r="R64" s="65"/>
      <c r="S64" s="65"/>
      <c r="T64" s="65"/>
      <c r="U64" s="65"/>
      <c r="V64" s="28"/>
    </row>
    <row r="65" spans="1:22" x14ac:dyDescent="0.2">
      <c r="A65" s="28"/>
      <c r="B65" s="29"/>
      <c r="C65" s="29"/>
      <c r="D65" s="56"/>
      <c r="E65" s="29"/>
      <c r="F65" s="29"/>
      <c r="G65" s="28"/>
      <c r="H65" s="56"/>
      <c r="I65" s="28"/>
      <c r="J65" s="59"/>
      <c r="K65" s="28"/>
      <c r="L65" s="28"/>
      <c r="M65" s="77"/>
      <c r="N65" s="28"/>
      <c r="O65" s="28"/>
      <c r="P65" s="65"/>
      <c r="Q65" s="28"/>
      <c r="R65" s="65"/>
      <c r="S65" s="65"/>
      <c r="T65" s="65"/>
      <c r="U65" s="65"/>
      <c r="V65" s="28"/>
    </row>
    <row r="66" spans="1:22" x14ac:dyDescent="0.2">
      <c r="A66" s="28"/>
      <c r="B66" s="28"/>
      <c r="C66" s="28"/>
      <c r="D66" s="56"/>
      <c r="E66" s="28"/>
      <c r="F66" s="28"/>
      <c r="G66" s="56"/>
      <c r="H66" s="56"/>
      <c r="I66" s="28"/>
      <c r="J66" s="28"/>
      <c r="K66" s="28"/>
      <c r="L66" s="28"/>
      <c r="M66" s="28"/>
      <c r="N66" s="28"/>
      <c r="O66" s="28"/>
      <c r="P66" s="65"/>
      <c r="Q66" s="28"/>
      <c r="R66" s="65"/>
      <c r="S66" s="65"/>
      <c r="T66" s="65"/>
      <c r="U66" s="65"/>
      <c r="V66" s="28"/>
    </row>
    <row r="67" spans="1:22" x14ac:dyDescent="0.2">
      <c r="A67" s="28"/>
      <c r="B67" s="28"/>
      <c r="C67" s="28"/>
      <c r="D67" s="56"/>
      <c r="E67" s="28"/>
      <c r="F67" s="28"/>
      <c r="G67" s="56"/>
      <c r="H67" s="56"/>
      <c r="I67" s="28"/>
      <c r="J67" s="28"/>
      <c r="K67" s="28"/>
      <c r="L67" s="28"/>
      <c r="M67" s="28"/>
      <c r="N67" s="28"/>
      <c r="O67" s="28"/>
      <c r="P67" s="65"/>
      <c r="Q67" s="28"/>
      <c r="R67" s="65"/>
      <c r="S67" s="65"/>
      <c r="T67" s="65"/>
      <c r="U67" s="65"/>
      <c r="V67" s="28"/>
    </row>
    <row r="68" spans="1:22" s="55" customFormat="1" x14ac:dyDescent="0.2">
      <c r="A68" s="54"/>
      <c r="B68" s="54"/>
      <c r="C68" s="54"/>
      <c r="D68" s="82"/>
      <c r="E68" s="54"/>
      <c r="F68" s="54"/>
      <c r="G68" s="82"/>
      <c r="H68" s="82"/>
      <c r="I68" s="54"/>
      <c r="J68" s="54"/>
      <c r="K68" s="54"/>
      <c r="L68" s="54">
        <f>SUM(L48:L67)</f>
        <v>7635.91</v>
      </c>
      <c r="M68" s="54"/>
      <c r="N68" s="54"/>
      <c r="O68" s="54">
        <f>SUM(O48:O67)</f>
        <v>7635.91</v>
      </c>
      <c r="P68" s="53">
        <f>SUM(P48:P67)</f>
        <v>7615334090</v>
      </c>
      <c r="Q68" s="54"/>
      <c r="R68" s="53">
        <f>SUM(R48:R67)</f>
        <v>2340988825</v>
      </c>
      <c r="S68" s="53">
        <f>SUM(S48:S67)</f>
        <v>712827085</v>
      </c>
      <c r="T68" s="53">
        <f>SUM(T48:T67)</f>
        <v>10669150000</v>
      </c>
      <c r="U68" s="53"/>
      <c r="V68" s="54"/>
    </row>
    <row r="69" spans="1:22" s="87" customFormat="1" x14ac:dyDescent="0.2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85">
        <f>SUM(L47,L68)</f>
        <v>27243.07</v>
      </c>
      <c r="M69" s="83"/>
      <c r="N69" s="83"/>
      <c r="O69" s="85">
        <f>SUM(O47,O68)</f>
        <v>27243.07</v>
      </c>
      <c r="P69" s="86">
        <f>SUM(P47,P68)</f>
        <v>25963671470</v>
      </c>
      <c r="Q69" s="83"/>
      <c r="R69" s="86">
        <f>SUM(R47,R68)</f>
        <v>8600228256</v>
      </c>
      <c r="S69" s="86">
        <f>SUM(S47,S68)</f>
        <v>2515258274</v>
      </c>
      <c r="T69" s="86">
        <f>SUM(T47,T68)</f>
        <v>37079158000</v>
      </c>
      <c r="U69" s="86"/>
      <c r="V69" s="83"/>
    </row>
    <row r="70" spans="1:22" ht="48" x14ac:dyDescent="0.2">
      <c r="A70" s="28">
        <v>1</v>
      </c>
      <c r="B70" s="29" t="s">
        <v>25</v>
      </c>
      <c r="C70" s="29" t="s">
        <v>304</v>
      </c>
      <c r="D70" s="56" t="s">
        <v>305</v>
      </c>
      <c r="E70" s="29" t="s">
        <v>306</v>
      </c>
      <c r="F70" s="29" t="s">
        <v>29</v>
      </c>
      <c r="G70" s="56" t="s">
        <v>374</v>
      </c>
      <c r="H70" s="56" t="s">
        <v>375</v>
      </c>
      <c r="I70" s="88" t="s">
        <v>376</v>
      </c>
      <c r="J70" s="59" t="s">
        <v>377</v>
      </c>
      <c r="K70" s="28">
        <v>1461502671</v>
      </c>
      <c r="L70" s="28">
        <v>445</v>
      </c>
      <c r="M70" s="28" t="s">
        <v>109</v>
      </c>
      <c r="N70" s="28" t="s">
        <v>378</v>
      </c>
      <c r="O70" s="28">
        <v>445</v>
      </c>
      <c r="P70" s="65"/>
      <c r="Q70" s="28"/>
      <c r="R70" s="65"/>
      <c r="S70" s="65"/>
      <c r="T70" s="65"/>
      <c r="U70" s="65"/>
      <c r="V70" s="28"/>
    </row>
    <row r="71" spans="1:22" ht="48" x14ac:dyDescent="0.2">
      <c r="A71" s="28">
        <v>2</v>
      </c>
      <c r="B71" s="29" t="s">
        <v>25</v>
      </c>
      <c r="C71" s="29" t="s">
        <v>304</v>
      </c>
      <c r="D71" s="56" t="s">
        <v>305</v>
      </c>
      <c r="E71" s="29" t="s">
        <v>306</v>
      </c>
      <c r="F71" s="29" t="s">
        <v>29</v>
      </c>
      <c r="G71" s="56" t="s">
        <v>374</v>
      </c>
      <c r="H71" s="56" t="s">
        <v>379</v>
      </c>
      <c r="I71" s="28" t="s">
        <v>380</v>
      </c>
      <c r="J71" s="59" t="s">
        <v>377</v>
      </c>
      <c r="K71" s="28">
        <v>1461502672</v>
      </c>
      <c r="L71" s="28">
        <v>541</v>
      </c>
      <c r="M71" s="28" t="s">
        <v>109</v>
      </c>
      <c r="N71" s="28" t="s">
        <v>381</v>
      </c>
      <c r="O71" s="28">
        <v>541</v>
      </c>
      <c r="P71" s="65"/>
      <c r="Q71" s="28"/>
      <c r="R71" s="65"/>
      <c r="S71" s="65"/>
      <c r="T71" s="65"/>
      <c r="U71" s="65"/>
      <c r="V71" s="28"/>
    </row>
    <row r="72" spans="1:22" ht="48" x14ac:dyDescent="0.2">
      <c r="A72" s="28">
        <v>3</v>
      </c>
      <c r="B72" s="29" t="s">
        <v>25</v>
      </c>
      <c r="C72" s="29" t="s">
        <v>304</v>
      </c>
      <c r="D72" s="56" t="s">
        <v>305</v>
      </c>
      <c r="E72" s="29" t="s">
        <v>306</v>
      </c>
      <c r="F72" s="29" t="s">
        <v>29</v>
      </c>
      <c r="G72" s="56" t="s">
        <v>374</v>
      </c>
      <c r="H72" s="56" t="s">
        <v>382</v>
      </c>
      <c r="I72" s="28" t="s">
        <v>383</v>
      </c>
      <c r="J72" s="59" t="s">
        <v>377</v>
      </c>
      <c r="K72" s="28">
        <v>1461502673</v>
      </c>
      <c r="L72" s="28">
        <v>699</v>
      </c>
      <c r="M72" s="28" t="s">
        <v>109</v>
      </c>
      <c r="N72" s="28" t="s">
        <v>384</v>
      </c>
      <c r="O72" s="28">
        <v>699</v>
      </c>
      <c r="P72" s="65"/>
      <c r="Q72" s="28"/>
      <c r="R72" s="65"/>
      <c r="S72" s="65"/>
      <c r="T72" s="65"/>
      <c r="U72" s="65"/>
      <c r="V72" s="28"/>
    </row>
    <row r="73" spans="1:22" ht="48" x14ac:dyDescent="0.2">
      <c r="A73" s="28">
        <v>4</v>
      </c>
      <c r="B73" s="29" t="s">
        <v>25</v>
      </c>
      <c r="C73" s="29" t="s">
        <v>304</v>
      </c>
      <c r="D73" s="56" t="s">
        <v>305</v>
      </c>
      <c r="E73" s="29" t="s">
        <v>306</v>
      </c>
      <c r="F73" s="29" t="s">
        <v>29</v>
      </c>
      <c r="G73" s="56" t="s">
        <v>374</v>
      </c>
      <c r="H73" s="56" t="s">
        <v>385</v>
      </c>
      <c r="I73" s="28" t="s">
        <v>386</v>
      </c>
      <c r="J73" s="59" t="s">
        <v>377</v>
      </c>
      <c r="K73" s="28">
        <v>1461502674</v>
      </c>
      <c r="L73" s="28">
        <v>699</v>
      </c>
      <c r="M73" s="28" t="s">
        <v>109</v>
      </c>
      <c r="N73" s="28" t="s">
        <v>387</v>
      </c>
      <c r="O73" s="28">
        <v>699</v>
      </c>
      <c r="P73" s="65"/>
      <c r="Q73" s="28"/>
      <c r="R73" s="65"/>
      <c r="S73" s="65"/>
      <c r="T73" s="65"/>
      <c r="U73" s="65"/>
      <c r="V73" s="28"/>
    </row>
    <row r="74" spans="1:22" ht="48" x14ac:dyDescent="0.2">
      <c r="A74" s="28">
        <v>5</v>
      </c>
      <c r="B74" s="29" t="s">
        <v>25</v>
      </c>
      <c r="C74" s="29" t="s">
        <v>304</v>
      </c>
      <c r="D74" s="56" t="s">
        <v>305</v>
      </c>
      <c r="E74" s="29" t="s">
        <v>306</v>
      </c>
      <c r="F74" s="29" t="s">
        <v>29</v>
      </c>
      <c r="G74" s="56" t="s">
        <v>374</v>
      </c>
      <c r="H74" s="56" t="s">
        <v>388</v>
      </c>
      <c r="I74" s="28" t="s">
        <v>389</v>
      </c>
      <c r="J74" s="59" t="s">
        <v>377</v>
      </c>
      <c r="K74" s="28">
        <v>1461502675</v>
      </c>
      <c r="L74" s="28">
        <v>694</v>
      </c>
      <c r="M74" s="28" t="s">
        <v>109</v>
      </c>
      <c r="N74" s="28" t="s">
        <v>390</v>
      </c>
      <c r="O74" s="28">
        <v>694</v>
      </c>
      <c r="P74" s="65"/>
      <c r="Q74" s="28"/>
      <c r="R74" s="65"/>
      <c r="S74" s="65"/>
      <c r="T74" s="65"/>
      <c r="U74" s="65"/>
      <c r="V74" s="28"/>
    </row>
    <row r="75" spans="1:22" ht="48" x14ac:dyDescent="0.2">
      <c r="A75" s="28">
        <v>6</v>
      </c>
      <c r="B75" s="29" t="s">
        <v>25</v>
      </c>
      <c r="C75" s="29" t="s">
        <v>304</v>
      </c>
      <c r="D75" s="56" t="s">
        <v>305</v>
      </c>
      <c r="E75" s="29" t="s">
        <v>306</v>
      </c>
      <c r="F75" s="29" t="s">
        <v>29</v>
      </c>
      <c r="G75" s="56" t="s">
        <v>374</v>
      </c>
      <c r="H75" s="56" t="s">
        <v>391</v>
      </c>
      <c r="I75" s="28" t="s">
        <v>392</v>
      </c>
      <c r="J75" s="59" t="s">
        <v>377</v>
      </c>
      <c r="K75" s="28">
        <v>1461502676</v>
      </c>
      <c r="L75" s="28">
        <v>679</v>
      </c>
      <c r="M75" s="28" t="s">
        <v>109</v>
      </c>
      <c r="N75" s="28" t="s">
        <v>393</v>
      </c>
      <c r="O75" s="28">
        <v>679</v>
      </c>
      <c r="P75" s="65"/>
      <c r="Q75" s="28"/>
      <c r="R75" s="65"/>
      <c r="S75" s="65"/>
      <c r="T75" s="65"/>
      <c r="U75" s="65"/>
      <c r="V75" s="28"/>
    </row>
    <row r="76" spans="1:22" ht="48" x14ac:dyDescent="0.2">
      <c r="A76" s="28">
        <v>7</v>
      </c>
      <c r="B76" s="29" t="s">
        <v>25</v>
      </c>
      <c r="C76" s="29" t="s">
        <v>304</v>
      </c>
      <c r="D76" s="56" t="s">
        <v>305</v>
      </c>
      <c r="E76" s="29" t="s">
        <v>306</v>
      </c>
      <c r="F76" s="29" t="s">
        <v>29</v>
      </c>
      <c r="G76" s="56" t="s">
        <v>374</v>
      </c>
      <c r="H76" s="56" t="s">
        <v>394</v>
      </c>
      <c r="I76" s="28" t="s">
        <v>395</v>
      </c>
      <c r="J76" s="59" t="s">
        <v>377</v>
      </c>
      <c r="K76" s="28">
        <v>1461502677</v>
      </c>
      <c r="L76" s="28">
        <v>698</v>
      </c>
      <c r="M76" s="28" t="s">
        <v>109</v>
      </c>
      <c r="N76" s="28" t="s">
        <v>396</v>
      </c>
      <c r="O76" s="28">
        <v>698</v>
      </c>
      <c r="P76" s="65"/>
      <c r="Q76" s="28"/>
      <c r="R76" s="65"/>
      <c r="S76" s="65"/>
      <c r="T76" s="65"/>
      <c r="U76" s="65"/>
      <c r="V76" s="28"/>
    </row>
    <row r="77" spans="1:22" ht="48" x14ac:dyDescent="0.2">
      <c r="A77" s="28">
        <v>8</v>
      </c>
      <c r="B77" s="29" t="s">
        <v>25</v>
      </c>
      <c r="C77" s="29" t="s">
        <v>304</v>
      </c>
      <c r="D77" s="56" t="s">
        <v>305</v>
      </c>
      <c r="E77" s="29" t="s">
        <v>306</v>
      </c>
      <c r="F77" s="29" t="s">
        <v>29</v>
      </c>
      <c r="G77" s="56" t="s">
        <v>374</v>
      </c>
      <c r="H77" s="56" t="s">
        <v>397</v>
      </c>
      <c r="I77" s="28" t="s">
        <v>398</v>
      </c>
      <c r="J77" s="59" t="s">
        <v>377</v>
      </c>
      <c r="K77" s="28">
        <v>1461502678</v>
      </c>
      <c r="L77" s="28">
        <v>504</v>
      </c>
      <c r="M77" s="28" t="s">
        <v>109</v>
      </c>
      <c r="N77" s="28" t="s">
        <v>399</v>
      </c>
      <c r="O77" s="28">
        <v>504</v>
      </c>
      <c r="P77" s="65"/>
      <c r="Q77" s="28"/>
      <c r="R77" s="65"/>
      <c r="S77" s="65"/>
      <c r="T77" s="65"/>
      <c r="U77" s="65"/>
      <c r="V77" s="28"/>
    </row>
    <row r="78" spans="1:22" ht="48" x14ac:dyDescent="0.2">
      <c r="A78" s="28">
        <v>9</v>
      </c>
      <c r="B78" s="29" t="s">
        <v>25</v>
      </c>
      <c r="C78" s="29" t="s">
        <v>304</v>
      </c>
      <c r="D78" s="56" t="s">
        <v>305</v>
      </c>
      <c r="E78" s="29" t="s">
        <v>306</v>
      </c>
      <c r="F78" s="29" t="s">
        <v>29</v>
      </c>
      <c r="G78" s="56" t="s">
        <v>400</v>
      </c>
      <c r="H78" s="56" t="s">
        <v>401</v>
      </c>
      <c r="I78" s="28" t="s">
        <v>402</v>
      </c>
      <c r="J78" s="59" t="s">
        <v>377</v>
      </c>
      <c r="K78" s="28">
        <v>1461502851</v>
      </c>
      <c r="L78" s="28">
        <v>700</v>
      </c>
      <c r="M78" s="28" t="s">
        <v>109</v>
      </c>
      <c r="N78" s="28"/>
      <c r="O78" s="28"/>
      <c r="P78" s="65"/>
      <c r="Q78" s="28"/>
      <c r="R78" s="65"/>
      <c r="S78" s="65"/>
      <c r="T78" s="65"/>
      <c r="U78" s="65"/>
      <c r="V78" s="28"/>
    </row>
    <row r="79" spans="1:22" ht="48" x14ac:dyDescent="0.2">
      <c r="A79" s="28">
        <v>10</v>
      </c>
      <c r="B79" s="29" t="s">
        <v>25</v>
      </c>
      <c r="C79" s="29" t="s">
        <v>304</v>
      </c>
      <c r="D79" s="56" t="s">
        <v>305</v>
      </c>
      <c r="E79" s="29" t="s">
        <v>306</v>
      </c>
      <c r="F79" s="29" t="s">
        <v>29</v>
      </c>
      <c r="G79" s="56" t="s">
        <v>400</v>
      </c>
      <c r="H79" s="56" t="s">
        <v>403</v>
      </c>
      <c r="I79" s="28" t="s">
        <v>404</v>
      </c>
      <c r="J79" s="59" t="s">
        <v>377</v>
      </c>
      <c r="K79" s="28">
        <v>1461502852</v>
      </c>
      <c r="L79" s="28">
        <v>700</v>
      </c>
      <c r="M79" s="28" t="s">
        <v>109</v>
      </c>
      <c r="N79" s="28"/>
      <c r="O79" s="28"/>
      <c r="P79" s="65"/>
      <c r="Q79" s="28"/>
      <c r="R79" s="65"/>
      <c r="S79" s="65"/>
      <c r="T79" s="65"/>
      <c r="U79" s="65"/>
      <c r="V79" s="28"/>
    </row>
    <row r="80" spans="1:22" ht="48" x14ac:dyDescent="0.2">
      <c r="A80" s="28">
        <v>11</v>
      </c>
      <c r="B80" s="29" t="s">
        <v>25</v>
      </c>
      <c r="C80" s="29" t="s">
        <v>304</v>
      </c>
      <c r="D80" s="56" t="s">
        <v>305</v>
      </c>
      <c r="E80" s="29" t="s">
        <v>306</v>
      </c>
      <c r="F80" s="29" t="s">
        <v>29</v>
      </c>
      <c r="G80" s="56" t="s">
        <v>400</v>
      </c>
      <c r="H80" s="56" t="s">
        <v>405</v>
      </c>
      <c r="I80" s="28" t="s">
        <v>406</v>
      </c>
      <c r="J80" s="59" t="s">
        <v>377</v>
      </c>
      <c r="K80" s="28">
        <v>1461502853</v>
      </c>
      <c r="L80" s="28">
        <v>699</v>
      </c>
      <c r="M80" s="28" t="s">
        <v>109</v>
      </c>
      <c r="N80" s="28"/>
      <c r="O80" s="28"/>
      <c r="P80" s="65"/>
      <c r="Q80" s="28"/>
      <c r="R80" s="65"/>
      <c r="S80" s="65"/>
      <c r="T80" s="65"/>
      <c r="U80" s="65"/>
      <c r="V80" s="28"/>
    </row>
    <row r="81" spans="1:22" ht="48" x14ac:dyDescent="0.2">
      <c r="A81" s="28">
        <v>12</v>
      </c>
      <c r="B81" s="29" t="s">
        <v>25</v>
      </c>
      <c r="C81" s="29" t="s">
        <v>304</v>
      </c>
      <c r="D81" s="56" t="s">
        <v>305</v>
      </c>
      <c r="E81" s="29" t="s">
        <v>306</v>
      </c>
      <c r="F81" s="29" t="s">
        <v>29</v>
      </c>
      <c r="G81" s="56" t="s">
        <v>400</v>
      </c>
      <c r="H81" s="56" t="s">
        <v>407</v>
      </c>
      <c r="I81" s="28" t="s">
        <v>408</v>
      </c>
      <c r="J81" s="59" t="s">
        <v>377</v>
      </c>
      <c r="K81" s="28">
        <v>1461502854</v>
      </c>
      <c r="L81" s="28">
        <v>700</v>
      </c>
      <c r="M81" s="28" t="s">
        <v>109</v>
      </c>
      <c r="N81" s="28"/>
      <c r="O81" s="28"/>
      <c r="P81" s="65"/>
      <c r="Q81" s="28"/>
      <c r="R81" s="65"/>
      <c r="S81" s="65"/>
      <c r="T81" s="65"/>
      <c r="U81" s="65"/>
      <c r="V81" s="28"/>
    </row>
    <row r="82" spans="1:22" ht="48" x14ac:dyDescent="0.2">
      <c r="A82" s="28">
        <v>13</v>
      </c>
      <c r="B82" s="29" t="s">
        <v>25</v>
      </c>
      <c r="C82" s="29" t="s">
        <v>304</v>
      </c>
      <c r="D82" s="56" t="s">
        <v>305</v>
      </c>
      <c r="E82" s="29" t="s">
        <v>306</v>
      </c>
      <c r="F82" s="29" t="s">
        <v>29</v>
      </c>
      <c r="G82" s="56" t="s">
        <v>400</v>
      </c>
      <c r="H82" s="56" t="s">
        <v>409</v>
      </c>
      <c r="I82" s="28" t="s">
        <v>410</v>
      </c>
      <c r="J82" s="59" t="s">
        <v>377</v>
      </c>
      <c r="K82" s="28">
        <v>1461502855</v>
      </c>
      <c r="L82" s="28">
        <v>700</v>
      </c>
      <c r="M82" s="28" t="s">
        <v>109</v>
      </c>
      <c r="N82" s="28"/>
      <c r="O82" s="28"/>
      <c r="P82" s="65"/>
      <c r="Q82" s="28"/>
      <c r="R82" s="65"/>
      <c r="S82" s="65"/>
      <c r="T82" s="65"/>
      <c r="U82" s="65"/>
      <c r="V82" s="28"/>
    </row>
    <row r="83" spans="1:22" ht="48" x14ac:dyDescent="0.2">
      <c r="A83" s="28">
        <v>14</v>
      </c>
      <c r="B83" s="29" t="s">
        <v>25</v>
      </c>
      <c r="C83" s="29" t="s">
        <v>304</v>
      </c>
      <c r="D83" s="56" t="s">
        <v>305</v>
      </c>
      <c r="E83" s="29" t="s">
        <v>306</v>
      </c>
      <c r="F83" s="29" t="s">
        <v>29</v>
      </c>
      <c r="G83" s="56" t="s">
        <v>400</v>
      </c>
      <c r="H83" s="56" t="s">
        <v>411</v>
      </c>
      <c r="I83" s="28" t="s">
        <v>412</v>
      </c>
      <c r="J83" s="59" t="s">
        <v>377</v>
      </c>
      <c r="K83" s="28">
        <v>1461502856</v>
      </c>
      <c r="L83" s="28">
        <v>700</v>
      </c>
      <c r="M83" s="28" t="s">
        <v>109</v>
      </c>
      <c r="N83" s="28"/>
      <c r="O83" s="28"/>
      <c r="P83" s="65"/>
      <c r="Q83" s="28"/>
      <c r="R83" s="65"/>
      <c r="S83" s="65"/>
      <c r="T83" s="65"/>
      <c r="U83" s="65"/>
      <c r="V83" s="28"/>
    </row>
    <row r="84" spans="1:22" ht="48" x14ac:dyDescent="0.2">
      <c r="A84" s="28">
        <v>15</v>
      </c>
      <c r="B84" s="29" t="s">
        <v>25</v>
      </c>
      <c r="C84" s="29" t="s">
        <v>304</v>
      </c>
      <c r="D84" s="56" t="s">
        <v>305</v>
      </c>
      <c r="E84" s="29" t="s">
        <v>306</v>
      </c>
      <c r="F84" s="29" t="s">
        <v>29</v>
      </c>
      <c r="G84" s="56" t="s">
        <v>400</v>
      </c>
      <c r="H84" s="56" t="s">
        <v>413</v>
      </c>
      <c r="I84" s="28" t="s">
        <v>414</v>
      </c>
      <c r="J84" s="59" t="s">
        <v>377</v>
      </c>
      <c r="K84" s="28">
        <v>1461502857</v>
      </c>
      <c r="L84" s="28">
        <v>700</v>
      </c>
      <c r="M84" s="28" t="s">
        <v>109</v>
      </c>
      <c r="N84" s="28"/>
      <c r="O84" s="28"/>
      <c r="P84" s="65"/>
      <c r="Q84" s="28"/>
      <c r="R84" s="65"/>
      <c r="S84" s="65"/>
      <c r="T84" s="65"/>
      <c r="U84" s="65"/>
      <c r="V84" s="28"/>
    </row>
    <row r="85" spans="1:22" ht="48" x14ac:dyDescent="0.2">
      <c r="A85" s="28">
        <v>16</v>
      </c>
      <c r="B85" s="29" t="s">
        <v>25</v>
      </c>
      <c r="C85" s="29" t="s">
        <v>304</v>
      </c>
      <c r="D85" s="56" t="s">
        <v>305</v>
      </c>
      <c r="E85" s="29" t="s">
        <v>306</v>
      </c>
      <c r="F85" s="29" t="s">
        <v>29</v>
      </c>
      <c r="G85" s="56" t="s">
        <v>400</v>
      </c>
      <c r="H85" s="56" t="s">
        <v>415</v>
      </c>
      <c r="I85" s="28" t="s">
        <v>416</v>
      </c>
      <c r="J85" s="59" t="s">
        <v>377</v>
      </c>
      <c r="K85" s="28">
        <v>1461502858</v>
      </c>
      <c r="L85" s="28">
        <v>674</v>
      </c>
      <c r="M85" s="28" t="s">
        <v>109</v>
      </c>
      <c r="N85" s="28"/>
      <c r="O85" s="28"/>
      <c r="P85" s="65"/>
      <c r="Q85" s="28"/>
      <c r="R85" s="65"/>
      <c r="S85" s="65"/>
      <c r="T85" s="65"/>
      <c r="U85" s="65"/>
      <c r="V85" s="28"/>
    </row>
    <row r="86" spans="1:22" ht="48" x14ac:dyDescent="0.2">
      <c r="A86" s="28">
        <v>17</v>
      </c>
      <c r="B86" s="29" t="s">
        <v>25</v>
      </c>
      <c r="C86" s="29" t="s">
        <v>304</v>
      </c>
      <c r="D86" s="56" t="s">
        <v>305</v>
      </c>
      <c r="E86" s="29" t="s">
        <v>306</v>
      </c>
      <c r="F86" s="29" t="s">
        <v>29</v>
      </c>
      <c r="G86" s="56" t="s">
        <v>400</v>
      </c>
      <c r="H86" s="56" t="s">
        <v>417</v>
      </c>
      <c r="I86" s="28" t="s">
        <v>418</v>
      </c>
      <c r="J86" s="59" t="s">
        <v>377</v>
      </c>
      <c r="K86" s="28">
        <v>1461502859</v>
      </c>
      <c r="L86" s="28">
        <v>700</v>
      </c>
      <c r="M86" s="28" t="s">
        <v>109</v>
      </c>
      <c r="N86" s="28"/>
      <c r="O86" s="28"/>
      <c r="P86" s="65"/>
      <c r="Q86" s="28"/>
      <c r="R86" s="65"/>
      <c r="S86" s="65"/>
      <c r="T86" s="65"/>
      <c r="U86" s="65"/>
      <c r="V86" s="28"/>
    </row>
    <row r="87" spans="1:22" ht="48" x14ac:dyDescent="0.2">
      <c r="A87" s="28">
        <v>18</v>
      </c>
      <c r="B87" s="29" t="s">
        <v>25</v>
      </c>
      <c r="C87" s="29" t="s">
        <v>304</v>
      </c>
      <c r="D87" s="56" t="s">
        <v>305</v>
      </c>
      <c r="E87" s="29" t="s">
        <v>306</v>
      </c>
      <c r="F87" s="29" t="s">
        <v>29</v>
      </c>
      <c r="G87" s="56" t="s">
        <v>400</v>
      </c>
      <c r="H87" s="56" t="s">
        <v>419</v>
      </c>
      <c r="I87" s="28" t="s">
        <v>420</v>
      </c>
      <c r="J87" s="59" t="s">
        <v>377</v>
      </c>
      <c r="K87" s="28">
        <v>1461502860</v>
      </c>
      <c r="L87" s="28">
        <v>700</v>
      </c>
      <c r="M87" s="28" t="s">
        <v>109</v>
      </c>
      <c r="N87" s="28"/>
      <c r="O87" s="28"/>
      <c r="P87" s="65"/>
      <c r="Q87" s="28"/>
      <c r="R87" s="65"/>
      <c r="S87" s="65"/>
      <c r="T87" s="65"/>
      <c r="U87" s="65"/>
      <c r="V87" s="28"/>
    </row>
    <row r="88" spans="1:22" ht="48" x14ac:dyDescent="0.2">
      <c r="A88" s="28">
        <v>19</v>
      </c>
      <c r="B88" s="29" t="s">
        <v>25</v>
      </c>
      <c r="C88" s="29" t="s">
        <v>304</v>
      </c>
      <c r="D88" s="56" t="s">
        <v>305</v>
      </c>
      <c r="E88" s="29" t="s">
        <v>306</v>
      </c>
      <c r="F88" s="29" t="s">
        <v>29</v>
      </c>
      <c r="G88" s="56" t="s">
        <v>400</v>
      </c>
      <c r="H88" s="56" t="s">
        <v>421</v>
      </c>
      <c r="I88" s="28" t="s">
        <v>422</v>
      </c>
      <c r="J88" s="59" t="s">
        <v>377</v>
      </c>
      <c r="K88" s="28">
        <v>1461502861</v>
      </c>
      <c r="L88" s="28">
        <v>700</v>
      </c>
      <c r="M88" s="28" t="s">
        <v>109</v>
      </c>
      <c r="N88" s="28"/>
      <c r="O88" s="28"/>
      <c r="P88" s="65"/>
      <c r="Q88" s="28"/>
      <c r="R88" s="65"/>
      <c r="S88" s="65"/>
      <c r="T88" s="65"/>
      <c r="U88" s="65"/>
      <c r="V88" s="28"/>
    </row>
    <row r="89" spans="1:22" ht="48" x14ac:dyDescent="0.2">
      <c r="A89" s="28">
        <v>20</v>
      </c>
      <c r="B89" s="29" t="s">
        <v>25</v>
      </c>
      <c r="C89" s="29" t="s">
        <v>304</v>
      </c>
      <c r="D89" s="56" t="s">
        <v>305</v>
      </c>
      <c r="E89" s="29" t="s">
        <v>306</v>
      </c>
      <c r="F89" s="29" t="s">
        <v>29</v>
      </c>
      <c r="G89" s="56" t="s">
        <v>400</v>
      </c>
      <c r="H89" s="56" t="s">
        <v>423</v>
      </c>
      <c r="I89" s="28" t="s">
        <v>424</v>
      </c>
      <c r="J89" s="59" t="s">
        <v>377</v>
      </c>
      <c r="K89" s="28">
        <v>1461502862</v>
      </c>
      <c r="L89" s="28">
        <v>700</v>
      </c>
      <c r="M89" s="28" t="s">
        <v>109</v>
      </c>
      <c r="N89" s="28"/>
      <c r="O89" s="28"/>
      <c r="P89" s="65"/>
      <c r="Q89" s="28"/>
      <c r="R89" s="65"/>
      <c r="S89" s="65"/>
      <c r="T89" s="65"/>
      <c r="U89" s="65"/>
      <c r="V89" s="28"/>
    </row>
    <row r="90" spans="1:22" ht="48" x14ac:dyDescent="0.2">
      <c r="A90" s="28">
        <v>21</v>
      </c>
      <c r="B90" s="29" t="s">
        <v>25</v>
      </c>
      <c r="C90" s="29" t="s">
        <v>304</v>
      </c>
      <c r="D90" s="56" t="s">
        <v>305</v>
      </c>
      <c r="E90" s="29" t="s">
        <v>306</v>
      </c>
      <c r="F90" s="29" t="s">
        <v>29</v>
      </c>
      <c r="G90" s="56" t="s">
        <v>400</v>
      </c>
      <c r="H90" s="56" t="s">
        <v>425</v>
      </c>
      <c r="I90" s="28" t="s">
        <v>426</v>
      </c>
      <c r="J90" s="59" t="s">
        <v>377</v>
      </c>
      <c r="K90" s="28">
        <v>1461502863</v>
      </c>
      <c r="L90" s="28">
        <v>630</v>
      </c>
      <c r="M90" s="28" t="s">
        <v>109</v>
      </c>
      <c r="N90" s="28"/>
      <c r="O90" s="28"/>
      <c r="P90" s="65"/>
      <c r="Q90" s="28"/>
      <c r="R90" s="65"/>
      <c r="S90" s="65"/>
      <c r="T90" s="65"/>
      <c r="U90" s="65"/>
      <c r="V90" s="28"/>
    </row>
    <row r="91" spans="1:22" ht="60" x14ac:dyDescent="0.2">
      <c r="A91" s="28">
        <v>22</v>
      </c>
      <c r="B91" s="29" t="s">
        <v>25</v>
      </c>
      <c r="C91" s="29" t="s">
        <v>304</v>
      </c>
      <c r="D91" s="56" t="s">
        <v>305</v>
      </c>
      <c r="E91" s="29" t="s">
        <v>306</v>
      </c>
      <c r="F91" s="29" t="s">
        <v>29</v>
      </c>
      <c r="G91" s="56" t="s">
        <v>427</v>
      </c>
      <c r="H91" s="56" t="s">
        <v>419</v>
      </c>
      <c r="I91" s="28" t="s">
        <v>420</v>
      </c>
      <c r="J91" s="59" t="s">
        <v>428</v>
      </c>
      <c r="K91" s="28">
        <v>1461502253</v>
      </c>
      <c r="L91" s="28">
        <v>565</v>
      </c>
      <c r="M91" s="28" t="s">
        <v>35</v>
      </c>
      <c r="N91" s="28"/>
      <c r="O91" s="28"/>
      <c r="P91" s="65"/>
      <c r="Q91" s="28"/>
      <c r="R91" s="65"/>
      <c r="S91" s="65"/>
      <c r="T91" s="65">
        <v>664780000</v>
      </c>
      <c r="U91" s="65"/>
      <c r="V91" s="28"/>
    </row>
    <row r="92" spans="1:22" ht="60" x14ac:dyDescent="0.2">
      <c r="A92" s="28">
        <v>23</v>
      </c>
      <c r="B92" s="29" t="s">
        <v>25</v>
      </c>
      <c r="C92" s="29" t="s">
        <v>304</v>
      </c>
      <c r="D92" s="56" t="s">
        <v>429</v>
      </c>
      <c r="E92" s="29" t="s">
        <v>430</v>
      </c>
      <c r="F92" s="29" t="s">
        <v>29</v>
      </c>
      <c r="G92" s="56" t="s">
        <v>427</v>
      </c>
      <c r="H92" s="56" t="s">
        <v>419</v>
      </c>
      <c r="I92" s="28" t="s">
        <v>420</v>
      </c>
      <c r="J92" s="59" t="s">
        <v>431</v>
      </c>
      <c r="K92" s="28">
        <v>1461502266</v>
      </c>
      <c r="L92" s="28">
        <v>2003</v>
      </c>
      <c r="M92" s="28" t="s">
        <v>109</v>
      </c>
      <c r="N92" s="28"/>
      <c r="O92" s="28"/>
      <c r="P92" s="65"/>
      <c r="Q92" s="28"/>
      <c r="R92" s="65"/>
      <c r="S92" s="65"/>
      <c r="T92" s="65">
        <v>7941206000</v>
      </c>
      <c r="U92" s="65"/>
      <c r="V92" s="28"/>
    </row>
    <row r="93" spans="1:22" ht="60" x14ac:dyDescent="0.2">
      <c r="A93" s="28">
        <v>24</v>
      </c>
      <c r="B93" s="29" t="s">
        <v>25</v>
      </c>
      <c r="C93" s="29" t="s">
        <v>304</v>
      </c>
      <c r="D93" s="56" t="s">
        <v>432</v>
      </c>
      <c r="E93" s="29" t="s">
        <v>433</v>
      </c>
      <c r="F93" s="29" t="s">
        <v>29</v>
      </c>
      <c r="G93" s="56" t="s">
        <v>427</v>
      </c>
      <c r="H93" s="56" t="s">
        <v>419</v>
      </c>
      <c r="I93" s="28" t="s">
        <v>420</v>
      </c>
      <c r="J93" s="59" t="s">
        <v>434</v>
      </c>
      <c r="K93" s="28">
        <v>1461502284</v>
      </c>
      <c r="L93" s="28">
        <v>253</v>
      </c>
      <c r="M93" s="28" t="s">
        <v>35</v>
      </c>
      <c r="N93" s="28" t="s">
        <v>435</v>
      </c>
      <c r="O93" s="28"/>
      <c r="P93" s="65"/>
      <c r="Q93" s="28"/>
      <c r="R93" s="65"/>
      <c r="S93" s="65"/>
      <c r="T93" s="65">
        <v>297275000</v>
      </c>
      <c r="U93" s="65"/>
      <c r="V93" s="28" t="s">
        <v>436</v>
      </c>
    </row>
    <row r="94" spans="1:22" ht="60" x14ac:dyDescent="0.2">
      <c r="A94" s="28">
        <v>25</v>
      </c>
      <c r="B94" s="29" t="s">
        <v>25</v>
      </c>
      <c r="C94" s="29" t="s">
        <v>304</v>
      </c>
      <c r="D94" s="56" t="s">
        <v>437</v>
      </c>
      <c r="E94" s="29" t="s">
        <v>438</v>
      </c>
      <c r="F94" s="29" t="s">
        <v>29</v>
      </c>
      <c r="G94" s="56" t="s">
        <v>427</v>
      </c>
      <c r="H94" s="56" t="s">
        <v>419</v>
      </c>
      <c r="I94" s="28" t="s">
        <v>420</v>
      </c>
      <c r="J94" s="59" t="s">
        <v>439</v>
      </c>
      <c r="K94" s="28">
        <v>1461502300</v>
      </c>
      <c r="L94" s="28">
        <v>597</v>
      </c>
      <c r="M94" s="28" t="s">
        <v>35</v>
      </c>
      <c r="N94" s="28"/>
      <c r="O94" s="28"/>
      <c r="P94" s="65"/>
      <c r="Q94" s="28"/>
      <c r="R94" s="65"/>
      <c r="S94" s="65"/>
      <c r="T94" s="65">
        <v>701840000</v>
      </c>
      <c r="U94" s="65"/>
      <c r="V94" s="28"/>
    </row>
    <row r="95" spans="1:22" ht="60" x14ac:dyDescent="0.2">
      <c r="A95" s="28">
        <v>26</v>
      </c>
      <c r="B95" s="29" t="s">
        <v>25</v>
      </c>
      <c r="C95" s="29" t="s">
        <v>304</v>
      </c>
      <c r="D95" s="56" t="s">
        <v>440</v>
      </c>
      <c r="E95" s="29" t="s">
        <v>441</v>
      </c>
      <c r="F95" s="29" t="s">
        <v>29</v>
      </c>
      <c r="G95" s="56" t="s">
        <v>427</v>
      </c>
      <c r="H95" s="56" t="s">
        <v>419</v>
      </c>
      <c r="I95" s="28" t="s">
        <v>420</v>
      </c>
      <c r="J95" s="59" t="s">
        <v>442</v>
      </c>
      <c r="K95" s="28">
        <v>1461502291</v>
      </c>
      <c r="L95" s="28">
        <v>481</v>
      </c>
      <c r="M95" s="28" t="s">
        <v>35</v>
      </c>
      <c r="N95" s="28"/>
      <c r="O95" s="28"/>
      <c r="P95" s="65"/>
      <c r="Q95" s="28"/>
      <c r="R95" s="65"/>
      <c r="S95" s="65"/>
      <c r="T95" s="65">
        <v>565175000</v>
      </c>
      <c r="U95" s="65"/>
      <c r="V95" s="28"/>
    </row>
    <row r="96" spans="1:22" ht="60" x14ac:dyDescent="0.2">
      <c r="A96" s="28">
        <v>27</v>
      </c>
      <c r="B96" s="29" t="s">
        <v>25</v>
      </c>
      <c r="C96" s="29" t="s">
        <v>304</v>
      </c>
      <c r="D96" s="56" t="s">
        <v>443</v>
      </c>
      <c r="E96" s="29" t="s">
        <v>444</v>
      </c>
      <c r="F96" s="29" t="s">
        <v>29</v>
      </c>
      <c r="G96" s="56" t="s">
        <v>427</v>
      </c>
      <c r="H96" s="56" t="s">
        <v>445</v>
      </c>
      <c r="I96" s="28" t="s">
        <v>446</v>
      </c>
      <c r="J96" s="59" t="s">
        <v>447</v>
      </c>
      <c r="K96" s="28">
        <v>1461502601</v>
      </c>
      <c r="L96" s="28">
        <v>435</v>
      </c>
      <c r="M96" s="28" t="s">
        <v>448</v>
      </c>
      <c r="N96" s="28"/>
      <c r="O96" s="28"/>
      <c r="P96" s="65"/>
      <c r="Q96" s="28"/>
      <c r="R96" s="65"/>
      <c r="S96" s="65"/>
      <c r="T96" s="65"/>
      <c r="U96" s="65"/>
      <c r="V96" s="28" t="s">
        <v>449</v>
      </c>
    </row>
    <row r="97" spans="1:22" ht="60" x14ac:dyDescent="0.2">
      <c r="A97" s="28">
        <v>28</v>
      </c>
      <c r="B97" s="29" t="s">
        <v>25</v>
      </c>
      <c r="C97" s="29" t="s">
        <v>304</v>
      </c>
      <c r="D97" s="56" t="s">
        <v>450</v>
      </c>
      <c r="E97" s="29" t="s">
        <v>451</v>
      </c>
      <c r="F97" s="29" t="s">
        <v>29</v>
      </c>
      <c r="G97" s="56" t="s">
        <v>427</v>
      </c>
      <c r="H97" s="56" t="s">
        <v>452</v>
      </c>
      <c r="I97" s="28" t="s">
        <v>453</v>
      </c>
      <c r="J97" s="59" t="s">
        <v>454</v>
      </c>
      <c r="K97" s="28">
        <v>1461502282</v>
      </c>
      <c r="L97" s="28">
        <v>526</v>
      </c>
      <c r="M97" s="28" t="s">
        <v>448</v>
      </c>
      <c r="N97" s="28" t="s">
        <v>455</v>
      </c>
      <c r="O97" s="28"/>
      <c r="P97" s="65"/>
      <c r="Q97" s="28"/>
      <c r="R97" s="65"/>
      <c r="S97" s="65"/>
      <c r="T97" s="65"/>
      <c r="U97" s="65"/>
      <c r="V97" s="28" t="s">
        <v>449</v>
      </c>
    </row>
    <row r="98" spans="1:22" ht="24" x14ac:dyDescent="0.2">
      <c r="A98" s="28">
        <v>29</v>
      </c>
      <c r="B98" s="29" t="s">
        <v>25</v>
      </c>
      <c r="C98" s="29" t="s">
        <v>304</v>
      </c>
      <c r="D98" s="56" t="s">
        <v>456</v>
      </c>
      <c r="E98" s="29" t="s">
        <v>457</v>
      </c>
      <c r="F98" s="29" t="s">
        <v>29</v>
      </c>
      <c r="G98" s="56"/>
      <c r="H98" s="56"/>
      <c r="I98" s="28"/>
      <c r="J98" s="28"/>
      <c r="K98" s="28"/>
      <c r="L98" s="28"/>
      <c r="M98" s="28"/>
      <c r="N98" s="28"/>
      <c r="O98" s="28"/>
      <c r="P98" s="65"/>
      <c r="Q98" s="28"/>
      <c r="R98" s="65"/>
      <c r="S98" s="65"/>
      <c r="T98" s="65"/>
      <c r="U98" s="65"/>
      <c r="V98" s="28"/>
    </row>
  </sheetData>
  <mergeCells count="15">
    <mergeCell ref="T1:T2"/>
    <mergeCell ref="U1:U2"/>
    <mergeCell ref="V1:V2"/>
    <mergeCell ref="J1:J2"/>
    <mergeCell ref="K1:K2"/>
    <mergeCell ref="L1:L2"/>
    <mergeCell ref="M1:M2"/>
    <mergeCell ref="N1:P1"/>
    <mergeCell ref="Q1:S1"/>
    <mergeCell ref="A1:A2"/>
    <mergeCell ref="B1:B2"/>
    <mergeCell ref="C1:C2"/>
    <mergeCell ref="D1:F1"/>
    <mergeCell ref="G1:G2"/>
    <mergeCell ref="H1:I1"/>
  </mergeCells>
  <conditionalFormatting sqref="K1:K2">
    <cfRule type="duplicateValues" dxfId="1" priority="2"/>
  </conditionalFormatting>
  <conditionalFormatting sqref="K1:K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NGA0365</dc:creator>
  <cp:lastModifiedBy>NGA0365</cp:lastModifiedBy>
  <dcterms:created xsi:type="dcterms:W3CDTF">2026-09-08T08:42:26Z</dcterms:created>
  <dcterms:modified xsi:type="dcterms:W3CDTF">2026-09-08T08:43:35Z</dcterms:modified>
</cp:coreProperties>
</file>
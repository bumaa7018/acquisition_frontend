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D:\5_ТАНИЛЦУУЛАГA_PPT\"/>
    </mc:Choice>
  </mc:AlternateContent>
  <xr:revisionPtr revIDLastSave="0" documentId="13_ncr:1_{B17F76AF-E6EB-4299-AE54-04B3DEE36759}" xr6:coauthVersionLast="37" xr6:coauthVersionMax="37" xr10:uidLastSave="{00000000-0000-0000-0000-000000000000}"/>
  <bookViews>
    <workbookView xWindow="0" yWindow="0" windowWidth="15360" windowHeight="7545" tabRatio="821" activeTab="1" xr2:uid="{2DE22073-0846-4B9A-9C31-80CBB61E95F6}"/>
  </bookViews>
  <sheets>
    <sheet name="7р хавсралт_322.58тэрбум" sheetId="1" r:id="rId1"/>
    <sheet name="Өнгөт хүснэгт" sheetId="4" r:id="rId2"/>
  </sheets>
  <definedNames>
    <definedName name="_xlnm._FilterDatabase" localSheetId="0" hidden="1">'7р хавсралт_322.58тэрбум'!$A$3:$XFB$226</definedName>
  </definedNames>
  <calcPr calcId="179021" calcCompleted="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25" i="1" l="1"/>
  <c r="G225" i="1"/>
  <c r="D225" i="1"/>
  <c r="E177" i="1"/>
  <c r="F177" i="1"/>
  <c r="G177" i="1"/>
  <c r="D177" i="1"/>
  <c r="F224" i="1" l="1"/>
  <c r="F225" i="1" s="1"/>
  <c r="E9" i="4" l="1"/>
  <c r="E8" i="4"/>
  <c r="E7" i="4"/>
  <c r="E6" i="4"/>
  <c r="E5" i="4"/>
  <c r="E4" i="4"/>
  <c r="F228" i="1" l="1"/>
  <c r="H177" i="1" l="1"/>
  <c r="F8" i="4" l="1"/>
  <c r="E11" i="4"/>
  <c r="F3" i="4"/>
  <c r="G234" i="1"/>
  <c r="G237" i="1" s="1"/>
  <c r="G228" i="1" s="1"/>
  <c r="H228" i="1" s="1"/>
  <c r="G230" i="1"/>
  <c r="F230" i="1"/>
  <c r="E230" i="1"/>
  <c r="G229" i="1"/>
  <c r="F229" i="1"/>
  <c r="E229" i="1"/>
  <c r="F231" i="1" l="1"/>
  <c r="H230" i="1"/>
  <c r="F9" i="4" s="1"/>
  <c r="D9" i="4" s="1"/>
  <c r="H229" i="1"/>
  <c r="F6" i="4" s="1"/>
  <c r="D6" i="4" s="1"/>
  <c r="XFB177" i="1"/>
  <c r="G231" i="1"/>
  <c r="G232" i="1" s="1"/>
  <c r="E13" i="4" s="1"/>
  <c r="E15" i="4" s="1"/>
  <c r="E16" i="4" s="1"/>
  <c r="F226" i="1"/>
  <c r="F232" i="1" s="1"/>
  <c r="F4" i="4"/>
  <c r="D4" i="4" s="1"/>
  <c r="G226" i="1"/>
  <c r="D229" i="1"/>
  <c r="E226" i="1"/>
  <c r="E231" i="1" s="1"/>
  <c r="F5" i="4"/>
  <c r="F11" i="4" s="1"/>
  <c r="D11" i="4" s="1"/>
  <c r="D8" i="4"/>
  <c r="E12" i="4"/>
  <c r="E10" i="4"/>
  <c r="F12" i="4" l="1"/>
  <c r="D12" i="4" s="1"/>
  <c r="D5" i="4"/>
  <c r="D17" i="4"/>
  <c r="H232" i="1" l="1"/>
  <c r="F13" i="4" s="1"/>
  <c r="D13" i="4"/>
  <c r="D15" i="4" s="1"/>
  <c r="D16" i="4" s="1"/>
  <c r="D230" i="1" l="1"/>
  <c r="F7" i="4"/>
  <c r="D7" i="4" s="1"/>
  <c r="D226" i="1"/>
  <c r="D231" i="1" s="1"/>
  <c r="F10" i="4" l="1"/>
  <c r="D10" i="4" s="1"/>
</calcChain>
</file>

<file path=xl/sharedStrings.xml><?xml version="1.0" encoding="utf-8"?>
<sst xmlns="http://schemas.openxmlformats.org/spreadsheetml/2006/main" count="1149" uniqueCount="515">
  <si>
    <t>НӨХӨХ ОЛГОВРЫН МЭДЭЭ</t>
  </si>
  <si>
    <t>№</t>
  </si>
  <si>
    <t>Саналын хуудасны дугаар</t>
  </si>
  <si>
    <t>НЗД-ын захирамжийн огноо дугаар</t>
  </si>
  <si>
    <t>Нэгж талбарын тоо</t>
  </si>
  <si>
    <t>Талбайн хэмжээ /м2/</t>
  </si>
  <si>
    <t>Байршил</t>
  </si>
  <si>
    <t>Ажлын төрөл</t>
  </si>
  <si>
    <t>Хугацаа</t>
  </si>
  <si>
    <t>Төсөв</t>
  </si>
  <si>
    <t>Гарсан захирамж</t>
  </si>
  <si>
    <t>НИЙТ</t>
  </si>
  <si>
    <t>Хянагдаж байгаа захирамж</t>
  </si>
  <si>
    <t>Авто зам</t>
  </si>
  <si>
    <t>Нийслэл</t>
  </si>
  <si>
    <t>БҮГД</t>
  </si>
  <si>
    <t xml:space="preserve">Захирамж гарсан </t>
  </si>
  <si>
    <t>Бодит үлдэгдэл</t>
  </si>
  <si>
    <t>Сүхбаатар дүүрэг, Чингэлтэй дүүрэг Сэлбэ дэд төв</t>
  </si>
  <si>
    <t>Нийт төгрөг</t>
  </si>
  <si>
    <t>Батлагдсан төсөв</t>
  </si>
  <si>
    <t>Сонгинохайрхан дүүргийн 5 дугаар хорооны нутаг дэвсгэрт баригдах “Хэсэгчилсэн ерөнхий төлөвлөгөөний дагуу гэр хорооллыг орон сууцжуулах” ажил</t>
  </si>
  <si>
    <t>Үзүүлэлт</t>
  </si>
  <si>
    <t>Хэмжих нэгж</t>
  </si>
  <si>
    <t xml:space="preserve">Нийслэлийн төсвийн газар чөлөөлөлт, нөхөх олговор </t>
  </si>
  <si>
    <t>Улаанбаатар хотын Тогтвортой авто зам, тээвэр төсөл</t>
  </si>
  <si>
    <t>тэрбум төгрөг</t>
  </si>
  <si>
    <t>Хэмжээ, га</t>
  </si>
  <si>
    <t xml:space="preserve"> Тэрбум төгрөг</t>
  </si>
  <si>
    <t>Захирамжийн төсөлд хянагдаж байгаа</t>
  </si>
  <si>
    <t>Тэрбум төгрөг</t>
  </si>
  <si>
    <t>үлдэгдэл хувь</t>
  </si>
  <si>
    <t>зарцуулсан хувь</t>
  </si>
  <si>
    <t xml:space="preserve">Захирамжийн төсөлд </t>
  </si>
  <si>
    <t>Нийт</t>
  </si>
  <si>
    <t>Хүннү хот</t>
  </si>
  <si>
    <t>-</t>
  </si>
  <si>
    <t>Инженерийн байгууламж</t>
  </si>
  <si>
    <t>Олон улс</t>
  </si>
  <si>
    <t>Сургууль</t>
  </si>
  <si>
    <t>Сонгинохайрхан дүүргийн 4 дүгээр хороо, Их Наран орчмын гэр хорооллын газрыг дахин төлөвлөх ажил</t>
  </si>
  <si>
    <t>II-87</t>
  </si>
  <si>
    <t>II-90</t>
  </si>
  <si>
    <t>II-98</t>
  </si>
  <si>
    <t>Чингэлтэй дүүрэг, 17-р хороо, Гэр хорооллын нийтийн тээврийн үйлчилгээг сайжруулах төсөл</t>
  </si>
  <si>
    <t>II-97</t>
  </si>
  <si>
    <t>Баянзүрх дүүргийн 8-р хороо, Хилчдийн гудамжнаас 92-р сургуулийн хойд талаар Эрдэнэтолгой 52-р гудамж хүртэлх авто замын ажил</t>
  </si>
  <si>
    <t>2026.01.05 А/04</t>
  </si>
  <si>
    <t>2026.01.08 А/16</t>
  </si>
  <si>
    <t>Ногоон нуур орчим Баянбүрд хэсэгчилсэн ерөнхий төлөвлөгөө</t>
  </si>
  <si>
    <t>2026.01.29 А/119</t>
  </si>
  <si>
    <t>2026.02.02 А/162</t>
  </si>
  <si>
    <t>II-1</t>
  </si>
  <si>
    <t>II-2</t>
  </si>
  <si>
    <t>Баянгол, Баянзүрх, Сонгинохайрхан, Хан-Уул дүүргийн нутаг дэвсгэр Туулын хурдны зам барих ажил</t>
  </si>
  <si>
    <t>II-3</t>
  </si>
  <si>
    <t>II-4</t>
  </si>
  <si>
    <t>Сонгинохайрхан дүүргийн 23 дугаар хорооны нутаг дэвсгэр Гэр хорооллын дахин төлөвлөлтийн Оргил төслийн инженерийн шугам сүлжээний ажил</t>
  </si>
  <si>
    <t>lll-1</t>
  </si>
  <si>
    <t>A/135 2026.01.30</t>
  </si>
  <si>
    <t>Хан-Уул дүүргийн 12 дугаар  хорооны нутаг дэвсгэрт “Хог шатааж, эрчим хүч гаргах үйлдвэр” байгуулах ажил</t>
  </si>
  <si>
    <t>lll-2</t>
  </si>
  <si>
    <t>A/136 2026.01.30</t>
  </si>
  <si>
    <t>Хан-Уул дүүргийн 6 дугаар  хорооны нутаг дэвсгэрт “Гал түймэр унтраах аврах анги шинээр барих” ажил</t>
  </si>
  <si>
    <t>lll-3</t>
  </si>
  <si>
    <t>Сонгинохайрхан дүүргийн 23 дугаар  хорооны нутаг дэвсгэрт баригдах “960 хүүхдийн суудал бүхий сургууль барих” ажил</t>
  </si>
  <si>
    <t>2026.02.12 А/221</t>
  </si>
  <si>
    <t>2026.02.12 А/219</t>
  </si>
  <si>
    <t>2026.02.12 А/220</t>
  </si>
  <si>
    <t>II-5</t>
  </si>
  <si>
    <t>Баянгол дүүргийн 20 дугаар хорооны нутаг дэвсгэрт баригдах “ТЭЦ-5 дулааны цахилгаан станц барих ажил”</t>
  </si>
  <si>
    <t>II-6</t>
  </si>
  <si>
    <t>Баянзүрх дүүргийн 10, 12, 37 дугаар хорооны нутаг дэвсгэрт Нарны замын зүүн өргөтгөл 4 км шинээр баригдах авто замын ажил</t>
  </si>
  <si>
    <t>A/187 2026.02.05</t>
  </si>
  <si>
    <t>lll-4</t>
  </si>
  <si>
    <t>A/223 2026.02.12</t>
  </si>
  <si>
    <t>lll-5</t>
  </si>
  <si>
    <t>2025 онд зарцуулсан</t>
  </si>
  <si>
    <t>2026 оны үлдэгдэл</t>
  </si>
  <si>
    <t>Ам долларын Монгол банкны ханш 20260213</t>
  </si>
  <si>
    <t>ОУ-ын СБХБ-ны Улаанбаатар хотын тогтвортой авто зам тээвэр төсөл 19,001,526,923.5 төгрөг</t>
  </si>
  <si>
    <t>lll-6</t>
  </si>
  <si>
    <t>lll-7</t>
  </si>
  <si>
    <t>2026.02.16 А/252</t>
  </si>
  <si>
    <t>II-7</t>
  </si>
  <si>
    <t>Сонгинохайрхан дүүргийн 6, 23, 30, 31, 37, 43 дугаар хороо, Баянгол дүүргийн 21 дүгээр хорооны нутаг дэвсгэрт баригдаж буй “Толгойтын авто замыг Ард Аюушийн өргөн чөлөөтэй холбох авто замын гүүрэн байгууламж, олон түвшний огтлолцол”</t>
  </si>
  <si>
    <t>II-8</t>
  </si>
  <si>
    <t>Баянгол, Баянзүрх, Хан-Уул, Сонгинохайрхан дүүргийн нутаг дэвсгэр Туул-1 коллектор ариутгах татуургын шугам сүлжээ ажил</t>
  </si>
  <si>
    <t>Баянгол дүүргийн 16 дугаар хорооны нутаг дэвсгэрт баригдах “640 хүүхдийн суудалтай сургуулийн барилга”-ын ажил</t>
  </si>
  <si>
    <t>2026.02.14 А/263</t>
  </si>
  <si>
    <t>2026.02.14 А/264</t>
  </si>
  <si>
    <t>2026.02.28 А/284</t>
  </si>
  <si>
    <t>2026.03.03 А/295</t>
  </si>
  <si>
    <t>2026.03.03 А/294</t>
  </si>
  <si>
    <t>Дэд төв</t>
  </si>
  <si>
    <t xml:space="preserve">Үнэлгээ </t>
  </si>
  <si>
    <t>A/265 2026.02.25</t>
  </si>
  <si>
    <t>A/293 2026.03.02</t>
  </si>
  <si>
    <t>lll-8</t>
  </si>
  <si>
    <t>Бусад</t>
  </si>
  <si>
    <t>lll-9</t>
  </si>
  <si>
    <t>Сонгинохайрхан дүүргийн 4 дүгээр  хорооны нутаг дэвсгэрт баригдах “Сургуулийн өргөтгөлийн барилга байгууламж баригдах” ажил</t>
  </si>
  <si>
    <t>lll-10</t>
  </si>
  <si>
    <t>lll-11</t>
  </si>
  <si>
    <t>Хан-Уул дүүргийн 9 дүгээр хорооны нутаг дэвсгэрт баригдах “960 хүүхдийн суудалтай сургуулийн барилга”-ын ажил</t>
  </si>
  <si>
    <t>2026.03.09 А/321</t>
  </si>
  <si>
    <t>II-9</t>
  </si>
  <si>
    <t xml:space="preserve">Сонгинохайрхан дүүргийн 1-р хороо Шинээр баригдах авто зам </t>
  </si>
  <si>
    <t>II-10</t>
  </si>
  <si>
    <t>II-11</t>
  </si>
  <si>
    <t>II-12</t>
  </si>
  <si>
    <t>Баянгол дүүргийн 11, 22, 23, 34  дүгээр хороо, Энхбаярын зам орчимд хийгдэх явган зам, авто замын ажил</t>
  </si>
  <si>
    <t>II-13</t>
  </si>
  <si>
    <t>II-14</t>
  </si>
  <si>
    <t>II-15</t>
  </si>
  <si>
    <t>II-16</t>
  </si>
  <si>
    <t>A/350 2026.03.11</t>
  </si>
  <si>
    <t>A/362 2026.03.13</t>
  </si>
  <si>
    <t>A/361  2026.03.13</t>
  </si>
  <si>
    <t>lll-12</t>
  </si>
  <si>
    <t>lll-13</t>
  </si>
  <si>
    <t>II-17</t>
  </si>
  <si>
    <t>Баянгол дүүргийн 20 дугаар хорооны нутаг дэвсгэрт “Геологийн төв лаборатори орчимд хийгдэх нүхэн гарц, авто замын ажил”</t>
  </si>
  <si>
    <t>II-18</t>
  </si>
  <si>
    <t>2026.02.16 А/253</t>
  </si>
  <si>
    <t>2026.03.18 А/368</t>
  </si>
  <si>
    <t>2026.03.16 А/366</t>
  </si>
  <si>
    <t>Сонгинохайрхан дүүргийн 5 дугаар хорооны нутаг дэвсгэрт баригдах Гэр хорооллын дахин төлөвлөлт</t>
  </si>
  <si>
    <t>2026.03.26 А/422</t>
  </si>
  <si>
    <t>2026.03.26 А/425</t>
  </si>
  <si>
    <t>2026.03.26 А/421</t>
  </si>
  <si>
    <t>2026.03.26 А/424</t>
  </si>
  <si>
    <t>2026-03-27 А/432</t>
  </si>
  <si>
    <t>II-19</t>
  </si>
  <si>
    <t>A/395 2026.03.23</t>
  </si>
  <si>
    <t>A/394 2026.03.23</t>
  </si>
  <si>
    <t>A/393 2026.03.23</t>
  </si>
  <si>
    <t>lll-14</t>
  </si>
  <si>
    <t>Сонгинохайрхан дүүрэг 3 дугаар хороо Гэр хорооллын дахин төлөвлөлт</t>
  </si>
  <si>
    <t>2026-04-01 А/459</t>
  </si>
  <si>
    <t>Эрх шилжүүлэх тухай, хөрөнгийн үнэлгээ</t>
  </si>
  <si>
    <t>Сонгинохайрхан дүүргийн 4 дүгээр хороо, Их Наран орчмын гэр хорооллын газрыг дахин төлөвлөх ажил Гэрээний гүйцэтгэлээр санхүүжих</t>
  </si>
  <si>
    <t>2026.04.02 А/474</t>
  </si>
  <si>
    <t>II-20</t>
  </si>
  <si>
    <t>II-21</t>
  </si>
  <si>
    <t>lll-15</t>
  </si>
  <si>
    <t>Сонгинохайрхан дүүргийн 35 дугаар  хорооны нутаг дэвсгэрт баригдах “960 хүүхдийн суудал бүхий сургууль барих” ажил</t>
  </si>
  <si>
    <t>lll-16</t>
  </si>
  <si>
    <t>Сонгинохайрхан дүүргийн 22 дугаар  хорооны нутаг дэвсгэрт баригдах “960 хүүхдийн суудал бүхий сургууль барих” ажил</t>
  </si>
  <si>
    <t>lll-17</t>
  </si>
  <si>
    <t>Сонгинохайрхан дүүргийн 43 дугаар  хорооны нутаг дэвсгэрт баригдах “960 хүүхдийн суудал бүхий сургууль барих” ажил</t>
  </si>
  <si>
    <t>lll-18</t>
  </si>
  <si>
    <t>2026.04.08 А/522</t>
  </si>
  <si>
    <t>2026.04.08 А/521</t>
  </si>
  <si>
    <t>2026.04.14 А/565</t>
  </si>
  <si>
    <t>2026.04.08 А/520</t>
  </si>
  <si>
    <t>2026.04.08 А/518</t>
  </si>
  <si>
    <t>2026.04.08 А/519</t>
  </si>
  <si>
    <t>II-22</t>
  </si>
  <si>
    <t>II-23</t>
  </si>
  <si>
    <t>II-24</t>
  </si>
  <si>
    <t>Сэлбэ сэргэлт төслийн хүрээнд Сэлбэ, Дунд голын үерийн хамгаалалтын барилга байгууламж</t>
  </si>
  <si>
    <t>2026.04.08 A/517</t>
  </si>
  <si>
    <t>2026.04.14 A/566</t>
  </si>
  <si>
    <t>Сүхбаатар дүүрэг 9 дүгээр хороо, Ногоон нуур орчим Баянбүрд хэсэгчилсэн ерөнхий төлөвлөгөө</t>
  </si>
  <si>
    <t>lll-19</t>
  </si>
  <si>
    <t>lll-20</t>
  </si>
  <si>
    <t>lll-21</t>
  </si>
  <si>
    <t>Баянгол дүүргийн 16 дүгээр хорооны нутаг дэвсгэрт баригдах “Гандангийн жишиг гудамжны тохижилт бүтээн байгуулалт”-ын ажил</t>
  </si>
  <si>
    <t>lll-22</t>
  </si>
  <si>
    <t>lll-23</t>
  </si>
  <si>
    <t>lll-24</t>
  </si>
  <si>
    <t>lll-25</t>
  </si>
  <si>
    <t>lll-26</t>
  </si>
  <si>
    <t>A/547 2026.04.10</t>
  </si>
  <si>
    <t>A/546 2026.04.10</t>
  </si>
  <si>
    <t>A/596 2026.04.22</t>
  </si>
  <si>
    <t>A/595 2026.04.22</t>
  </si>
  <si>
    <t>lll-27</t>
  </si>
  <si>
    <t>Баянзүрх дүүргийн 19 дүгээр хорооны нутаг дэвсгэрт баригдах “960 хүүхдийн суудал бүхий сургууль барих” ажил</t>
  </si>
  <si>
    <t>lll-28</t>
  </si>
  <si>
    <t>lll-29</t>
  </si>
  <si>
    <t>2026.04.23 А/605</t>
  </si>
  <si>
    <t>2026.04.23 А/607</t>
  </si>
  <si>
    <t>2026.04.23 А/606</t>
  </si>
  <si>
    <t>II-25</t>
  </si>
  <si>
    <t>II-26</t>
  </si>
  <si>
    <t>Чингэлтэй дүүргийн 18 дугаар хороо Дэд станцын барилга, байгууламж, Яргайтын 16 дугаар гудамж</t>
  </si>
  <si>
    <t>Сонгинохайрхан дүүргийн 35 дугаар хорооны Нарангийн голын үерт өртсөн хэсэг</t>
  </si>
  <si>
    <t>Сүхбаатар дүүргийн 13 дугаар хорооны нутаг дэвсгэрт "Сэлбэ худалдаа, үйлчилгээний цогцолбор" барилга</t>
  </si>
  <si>
    <t>II-27</t>
  </si>
  <si>
    <r>
      <t xml:space="preserve">Сүхбаатар дүүргийн 15, 16, 18, 20 дугаар хороо, </t>
    </r>
    <r>
      <rPr>
        <sz val="9"/>
        <color rgb="FF000000"/>
        <rFont val="Arial"/>
        <family val="2"/>
      </rPr>
      <t>Бэлх голын үерийн хамгаалалтын байгууламж</t>
    </r>
  </si>
  <si>
    <t>II-28</t>
  </si>
  <si>
    <t>II-29</t>
  </si>
  <si>
    <r>
      <t xml:space="preserve">Баянгол дүүргийн 16 дугаар хороо, </t>
    </r>
    <r>
      <rPr>
        <sz val="9"/>
        <color rgb="FF000000"/>
        <rFont val="Arial"/>
        <family val="2"/>
      </rPr>
      <t xml:space="preserve">мэдээлэл холбоо, цахилгааны дэд төв барих </t>
    </r>
    <r>
      <rPr>
        <sz val="9"/>
        <color theme="1"/>
        <rFont val="Arial"/>
        <family val="2"/>
      </rPr>
      <t>төсөл</t>
    </r>
  </si>
  <si>
    <t>II-30</t>
  </si>
  <si>
    <t>II-31</t>
  </si>
  <si>
    <t>lll-30</t>
  </si>
  <si>
    <t>Баянзүрх дүүргийн 32 дугаар  хорооны нутаг дэвсгэрт баригдах “960 хүүхдийн суудалтай сургуулийн барилга”ын ажил</t>
  </si>
  <si>
    <t>lll-34</t>
  </si>
  <si>
    <t>Сонгинохайрхан дүүргийн 5 дугаар  хорооны нутаг дэвсгэрт баригдах “Бейсболын талбай барих” ажил</t>
  </si>
  <si>
    <t>lll-35</t>
  </si>
  <si>
    <t>lll-36</t>
  </si>
  <si>
    <t>lll-37</t>
  </si>
  <si>
    <t>lll-38</t>
  </si>
  <si>
    <t>lll-31</t>
  </si>
  <si>
    <t>A/655 2026.05.06</t>
  </si>
  <si>
    <t>lll-32</t>
  </si>
  <si>
    <t>A/656 2026.05.06</t>
  </si>
  <si>
    <t>lll-33</t>
  </si>
  <si>
    <t>A/649 2026.05.06</t>
  </si>
  <si>
    <t>A/609 2026.04.24</t>
  </si>
  <si>
    <t>A/610 2026.04.24</t>
  </si>
  <si>
    <t>A/633 2026.05.04</t>
  </si>
  <si>
    <t>A/634 2026.05.04</t>
  </si>
  <si>
    <t>A/635 2026.05.04</t>
  </si>
  <si>
    <t>A/640 2026.05.04</t>
  </si>
  <si>
    <t>A/652 2026.05.06</t>
  </si>
  <si>
    <t>A/654 2026.05.06</t>
  </si>
  <si>
    <t>A/653 2026.05.06</t>
  </si>
  <si>
    <t>A/657 2026.05.06</t>
  </si>
  <si>
    <t>Сонгинохайрхан дүүргийн 4 дүгээр  хороо Их наран, гэр хорооллын дахин төлөвлөлтийн ажил</t>
  </si>
  <si>
    <t>2026.05.14 А/699</t>
  </si>
  <si>
    <t>2026.05.14 А/700</t>
  </si>
  <si>
    <t>2026.05.14 А/701</t>
  </si>
  <si>
    <t>II-32</t>
  </si>
  <si>
    <t>II-33</t>
  </si>
  <si>
    <t>Сонгинохайрхан дүүргийн 36, 3, 35, 2, 1, 34  дүгээр хорооны нутаг дэвсгэр “Алтан овооны замын уулзвараас  Найрамдлын гудамж зам хүртэлх шинэ гудамж зам, замын байгууламж”-ийн ажил</t>
  </si>
  <si>
    <t>II-34</t>
  </si>
  <si>
    <t>II-35</t>
  </si>
  <si>
    <t>СХД 11,28-р хороо Ерөнхий боловсролын 105 дугаар сургууль орчмын гэр хороололын дахин төлөвлөлтийн гадна инженерийн шугамын ажил</t>
  </si>
  <si>
    <t>ЧИНГЭЛТЭЙ ДҮҮРГИЙН 9 ДҮГЭЭР ХОРОО АВТО ЗОГСООЛ НОГООН БАЙГУУЛАМЖ</t>
  </si>
  <si>
    <t>lll-41</t>
  </si>
  <si>
    <t>A/692 2026.05.14</t>
  </si>
  <si>
    <t>Хан-Уул дүүргийн 3 дугаар хорооны нутаг дэвсгэрт баригдах “960 хүүхдийн суудалтай сургуулийн барилга”-ын ажил</t>
  </si>
  <si>
    <t>A/679 2026.05.12</t>
  </si>
  <si>
    <t>A/721 2026.05.15</t>
  </si>
  <si>
    <t>A/722 2026.05.15</t>
  </si>
  <si>
    <t>A/725 2026.05.15</t>
  </si>
  <si>
    <t>lll-40</t>
  </si>
  <si>
    <t>lll-42</t>
  </si>
  <si>
    <t>II-36</t>
  </si>
  <si>
    <t>II-37</t>
  </si>
  <si>
    <t>II-38</t>
  </si>
  <si>
    <t>II-39</t>
  </si>
  <si>
    <t>II-40</t>
  </si>
  <si>
    <t>II-41</t>
  </si>
  <si>
    <t xml:space="preserve">Баянгол дүүрэг 9-р хороо Ерөнхий боловсролын 146-р сургууль орчимд хийгдэх явган зам, авто зам </t>
  </si>
  <si>
    <t>II-42</t>
  </si>
  <si>
    <t>II-43</t>
  </si>
  <si>
    <t>Сүхбаатар дүүргийн 15, 16, 18, 20 дугаар хороодын нутаг дэвсгэрт Бэлх голын үерийн хамгаалалтын байгууламжийн ажил</t>
  </si>
  <si>
    <t>II-44</t>
  </si>
  <si>
    <t>II-45</t>
  </si>
  <si>
    <t>II-46</t>
  </si>
  <si>
    <t>II-47</t>
  </si>
  <si>
    <t>Сүхбаатар дүүрэг 11, 12, 13 дугаар хороо Сэлбэ голын баруун эрэг дагуух 2.5 км авто зам</t>
  </si>
  <si>
    <t>lll-43</t>
  </si>
  <si>
    <t>lll-44</t>
  </si>
  <si>
    <t>lll-45</t>
  </si>
  <si>
    <t>2026.06.03 А/822</t>
  </si>
  <si>
    <t>2026.06.04 А/829</t>
  </si>
  <si>
    <t>2026.06.04 А/826</t>
  </si>
  <si>
    <t>2026.06.04 А/830</t>
  </si>
  <si>
    <t>2026.06.04 А/827</t>
  </si>
  <si>
    <t>II-48</t>
  </si>
  <si>
    <t>Сонгинохайрхан дүүрэг 4 дүгээр хороо Гео дэд станцын өргөтгөлийн ажил</t>
  </si>
  <si>
    <t>A/833 2026.06.04</t>
  </si>
  <si>
    <t>A/832 2026.06.05</t>
  </si>
  <si>
    <t>A/831 2026.06.04</t>
  </si>
  <si>
    <t>A/758 2026.05.22</t>
  </si>
  <si>
    <t>A/749 2026.05.21</t>
  </si>
  <si>
    <t>lll-39</t>
  </si>
  <si>
    <t>Баянзүрх дүүргийн 32 дугаар хорооны нутаг дэвсгэрт баригдах “960 хүүхдийн суудал бүхий сургууль барих” ажил</t>
  </si>
  <si>
    <t>lll-46</t>
  </si>
  <si>
    <t>Хан-Уул дүүргийн 17 дугаар  хорооны нутаг дэвсгэрт баригдах “Музей, түүх, соёлын дурсгалт газар” ажил</t>
  </si>
  <si>
    <t>соёлын дурсгалт газар</t>
  </si>
  <si>
    <t>lll-47</t>
  </si>
  <si>
    <t>Баянгол дүүргийн 22 дугаар хорооны нутаг дэвсгэрт баригдах “640 хүүхдийн суудал бүхий сургууль барих” ажил</t>
  </si>
  <si>
    <t>lll-48</t>
  </si>
  <si>
    <t>Баянгол дүүргийн 10 дугаар хорооны нутаг дэвсгэрт баригдах “640 хүүхдийн суудал бүхий сургууль барих” ажил</t>
  </si>
  <si>
    <t>lll-49</t>
  </si>
  <si>
    <t>lll-50</t>
  </si>
  <si>
    <t>Баянгол дүүргийн 11 дүгээр хорооны нутаг дэвсгэрт баригдах “100 ортой хүүхдийн эмнэлэг”-ын ажил</t>
  </si>
  <si>
    <t>2026.06.08 А/842</t>
  </si>
  <si>
    <t>2026.06.08 А/843</t>
  </si>
  <si>
    <t>II-49</t>
  </si>
  <si>
    <t>Сүхбаатар дүүрэг, 13-р хороо Том оврын тээврийн хэрэгслийн авто зогсоолын ажил</t>
  </si>
  <si>
    <t>II-50</t>
  </si>
  <si>
    <t>Баянзүрх дүүрэг 10 дугаар хороо Амгалан дулааны станцын өргөтгөлийн ажил</t>
  </si>
  <si>
    <t>II-51</t>
  </si>
  <si>
    <t>2026.06.15 А/865</t>
  </si>
  <si>
    <t>2026.06.12 А/861</t>
  </si>
  <si>
    <t>2026.06.12 А/862</t>
  </si>
  <si>
    <t>2026.06.15 А868</t>
  </si>
  <si>
    <t>2026.06.17 А/873</t>
  </si>
  <si>
    <t>2026.06.17 А/874</t>
  </si>
  <si>
    <t>II-52</t>
  </si>
  <si>
    <t>II-53</t>
  </si>
  <si>
    <t>II-54</t>
  </si>
  <si>
    <t>II-55</t>
  </si>
  <si>
    <t>II-56</t>
  </si>
  <si>
    <t>II-57</t>
  </si>
  <si>
    <t>II-58</t>
  </si>
  <si>
    <t>II-59</t>
  </si>
  <si>
    <t>lll-51</t>
  </si>
  <si>
    <t>Сүхбаатар дүүргийн 11, 12 дугаар  хорооны нутаг дэвсгэрт “Гал түймэр унтраах аврах анги шинээр барих” ажил</t>
  </si>
  <si>
    <t>lll-52</t>
  </si>
  <si>
    <t>lll-53</t>
  </si>
  <si>
    <t>Баянгол дүүргийн 22 дугаар хорооны нутаг дэвсгэрт баригдах “Нийтийн эзэмшлийн ногоон байгууламж, цэцэрлэгжүүлэх, зүлэгжүүлэх талбайн” ажил</t>
  </si>
  <si>
    <t>lll-54</t>
  </si>
  <si>
    <t>Сонгинохайрхан дүүргийн 43 дугаар хорооны нутаг дэвсгэрт баригдах “960 хүүхдийн суудал бүхий сургууль барих” ажил</t>
  </si>
  <si>
    <t>lll-55</t>
  </si>
  <si>
    <t>lll-56</t>
  </si>
  <si>
    <t>A/856 2026.06.11</t>
  </si>
  <si>
    <t>A/872 2026.06.06</t>
  </si>
  <si>
    <t>Баянзүрх дүүргийн 19 дүгээр хороо, 17 дугаар нэгж хорооллын ХЕТ-д тусгагдсан Цайз-1 гудамжнаас Цайз-11 гудамж хүртэлх авто замын ажил</t>
  </si>
  <si>
    <t>ЧИНГЭЛТЭЙ ДҮҮРГИЙН 14 ДҮГЭЭР ХОРООНЫ НУТАГ ДЭВСГЭР, ХАЙЛААСТЫН 20-24 ДҮГЭЭР, ХАНДГАЙТЫН 6 ДУГААР ГУДАМЖ, ГЭР ХОРООЛЛЫН ДАХИН ТӨЛӨВЛӨЛТ</t>
  </si>
  <si>
    <t>С-08</t>
  </si>
  <si>
    <t>2026.06.19 А/892</t>
  </si>
  <si>
    <t>2026.06.22 А/899</t>
  </si>
  <si>
    <t>2026.06.22 А/898</t>
  </si>
  <si>
    <t>2026.06.22 А/896</t>
  </si>
  <si>
    <t>2026.06.22 А/900</t>
  </si>
  <si>
    <t>Сонгинохайрхан дүүргийн 5 дугаар хорооны нутаг дэвсгэрт баригдах Ханын материал орчим, Баянголын 27-32 дугаар гудамж, гэр хорооллын дахин төлөвлөлт</t>
  </si>
  <si>
    <t xml:space="preserve">Сүхбаатар дүүргийн 9 дүгээр хороо Баянбүрд орчмын хэсэгчилсэн ерөнхий төлөвлөгөөний хэрэгжилт </t>
  </si>
  <si>
    <t>2026.06.30 А/937</t>
  </si>
  <si>
    <t>2026.06.30 А/935</t>
  </si>
  <si>
    <t>2026.06.30 А/936</t>
  </si>
  <si>
    <t>С-09</t>
  </si>
  <si>
    <t>Сүхбаатар дүүрэг, 16, 17, 18-р хороо Дамбадаржаа дэд төв</t>
  </si>
  <si>
    <t>A/934 2026.06.30</t>
  </si>
  <si>
    <t>A/942 2026.06.30</t>
  </si>
  <si>
    <t>A/913 2026.06.23</t>
  </si>
  <si>
    <t>A/884 2026.06.18</t>
  </si>
  <si>
    <t>A/923 2026.06.25</t>
  </si>
  <si>
    <t>A/940 2026.06.30</t>
  </si>
  <si>
    <t>A/903 2026.06.22</t>
  </si>
  <si>
    <t>A/904 2026.06.22</t>
  </si>
  <si>
    <t>A/941 2026.06.30</t>
  </si>
  <si>
    <t>lll-57</t>
  </si>
  <si>
    <t>lll-58</t>
  </si>
  <si>
    <t>lll-59</t>
  </si>
  <si>
    <t>lll-60</t>
  </si>
  <si>
    <t>lll-61</t>
  </si>
  <si>
    <t>lll-62</t>
  </si>
  <si>
    <t>lll-63</t>
  </si>
  <si>
    <t>2026.06.30 А/938</t>
  </si>
  <si>
    <t>II-60</t>
  </si>
  <si>
    <t>II-61</t>
  </si>
  <si>
    <t>Сонгинохайрхан дүүрэг 20 дугаар хороо Толгойт дэд төвийн бохир усны шугамын ажил</t>
  </si>
  <si>
    <t>II-62</t>
  </si>
  <si>
    <t>II-63</t>
  </si>
  <si>
    <t>II-64</t>
  </si>
  <si>
    <t>Хан-уул дүүрэг 8-р хороо Нисэхийн тойргийг олон түвшний уулзвар болгох ажил</t>
  </si>
  <si>
    <t>II-65</t>
  </si>
  <si>
    <t>II-66</t>
  </si>
  <si>
    <t>Хөрөнгийн эх үүсвэр 2026 оны "Газар чөлөөлөх нөхөх олговор" 322.582 тэрбум</t>
  </si>
  <si>
    <t>2026.07.07 А/972</t>
  </si>
  <si>
    <t>2026.07.07 А/973</t>
  </si>
  <si>
    <t>А/985 2026.07.08</t>
  </si>
  <si>
    <t>А983 2026.07.08</t>
  </si>
  <si>
    <t>А/971 2026.07.07</t>
  </si>
  <si>
    <t>А/984 2026 07.08</t>
  </si>
  <si>
    <t>lll-64</t>
  </si>
  <si>
    <t>lll-65</t>
  </si>
  <si>
    <t>lll-66</t>
  </si>
  <si>
    <t>lll-67</t>
  </si>
  <si>
    <t>lll-68</t>
  </si>
  <si>
    <t>Хан-Уул дүүргийн 3 дугаар хорооны нутаг дэвсгэрт баригдах “480 хүүхдийн суудалтай сургуулийн барилга”-ын ажил</t>
  </si>
  <si>
    <t>lll-69</t>
  </si>
  <si>
    <t>Сүхбаатар дүүргийн 11 дүгээр хорооны нутаг дэвсгэрт баригдах “960 хүүхдийн суудалтай сургуулийн барилга”-ын ажил</t>
  </si>
  <si>
    <t>Сонгинохайрхан дүүргийн 9 дүгээр хороо, Баянхошуу дэд төвийн Ногоон орон сууц төслийн В-12 талбарын газар чөлөөлөлтийн ажил</t>
  </si>
  <si>
    <t>Баянгол дүүргийн 3 дугаар хороонд байрлах нийтийн эзэмшлийн ногоон байгууламж, цэцэрлэгжүүлэлт, зүлэгжүүлсэн талбайн бүтээн байгуулалтын ажил</t>
  </si>
  <si>
    <t>2026.07.06 А/960</t>
  </si>
  <si>
    <t>2026.07.06 А/961</t>
  </si>
  <si>
    <t>2026.07.06 А/962</t>
  </si>
  <si>
    <t>2026.07.06 А/963</t>
  </si>
  <si>
    <t>2026.07.06 А/964</t>
  </si>
  <si>
    <t>2026.07.06 А/965</t>
  </si>
  <si>
    <t>2026.07.06 А/966</t>
  </si>
  <si>
    <t>2026.07.06 А/967</t>
  </si>
  <si>
    <t>2026.07.08 А/988</t>
  </si>
  <si>
    <t>2026.07.23 А/1027</t>
  </si>
  <si>
    <t>II-67</t>
  </si>
  <si>
    <t>2026.07.20</t>
  </si>
  <si>
    <t>II-68</t>
  </si>
  <si>
    <t>II-69</t>
  </si>
  <si>
    <t>lll-70</t>
  </si>
  <si>
    <t>Баянгол дүүргийн 22 дугаар хорооны нутаг дэвсгэрт баригдах “640 хүүхдийн суудалтай сургууль”-ийн ажил</t>
  </si>
  <si>
    <t>lll-71</t>
  </si>
  <si>
    <t>lll-72</t>
  </si>
  <si>
    <t>lll-73</t>
  </si>
  <si>
    <t>С-10</t>
  </si>
  <si>
    <t>Сүхбаатар дүүргийн 9 дүгээр хороо, УБ арена спорт цогцолборын барилга</t>
  </si>
  <si>
    <t>lll-74</t>
  </si>
  <si>
    <t>Баянгол дүүргийн 22 дугаар хорооны нутаг дэвсгэрт баригдах “Нийтийн эзэмшлийн ногоон байгууламж,</t>
  </si>
  <si>
    <t>lll-75</t>
  </si>
  <si>
    <t>ЗД буцаав дахин судлах</t>
  </si>
  <si>
    <t>26.07.27</t>
  </si>
  <si>
    <t xml:space="preserve">Хөрөнгийн үнэлгээ </t>
  </si>
  <si>
    <t>C</t>
  </si>
  <si>
    <t>С-01</t>
  </si>
  <si>
    <t>С-02</t>
  </si>
  <si>
    <t>C-03</t>
  </si>
  <si>
    <t>С-04</t>
  </si>
  <si>
    <t>C-05</t>
  </si>
  <si>
    <t>C-06</t>
  </si>
  <si>
    <t>C-07</t>
  </si>
  <si>
    <t xml:space="preserve">2026.02.03 A/175 </t>
  </si>
  <si>
    <t>Гэр хорооллын дахин төлөвлөлт</t>
  </si>
  <si>
    <t>Сүхбаатар дүүргийн 9 дүгээр хороо Баянбүрд орчмын хэсэгчилсэн ерөнхий төлөвлөгөөний хэрэгжилт Он дамжих санхүүжилт</t>
  </si>
  <si>
    <t>Сүхбаатар дүүрэг 9 дүгээр хороо Спорт цогцолбор (Улаанбаатар Арена) Он дамжих санхүүжилт</t>
  </si>
  <si>
    <t>Хүннү хотын дахин төлөвлөлтийн хүрээнд баригдах транзит зочид буудлын барилга угсралтын ажил</t>
  </si>
  <si>
    <t>ТХХТ</t>
  </si>
  <si>
    <t>Ү-01</t>
  </si>
  <si>
    <t>Ү-02</t>
  </si>
  <si>
    <t>Хөрөнгийн үнэлгээний компаниудын он дамжих санхүүжилт</t>
  </si>
  <si>
    <t xml:space="preserve">2026.05.26 A/782 </t>
  </si>
  <si>
    <t xml:space="preserve">2026.05.26 A/783 </t>
  </si>
  <si>
    <t xml:space="preserve">2026.05.26 A/806 </t>
  </si>
  <si>
    <t xml:space="preserve">2026.05.26 A/805 </t>
  </si>
  <si>
    <t xml:space="preserve">2026.05.26 A/807 </t>
  </si>
  <si>
    <t xml:space="preserve">2026.06.04 A/824 </t>
  </si>
  <si>
    <t xml:space="preserve">2026.06.04 A/825 </t>
  </si>
  <si>
    <t xml:space="preserve">2026.06.04 A/823 </t>
  </si>
  <si>
    <t xml:space="preserve">2026.06.02 A/821 </t>
  </si>
  <si>
    <t xml:space="preserve">2026.06.08 А/846 </t>
  </si>
  <si>
    <t xml:space="preserve">2026.06.19 А/887 </t>
  </si>
  <si>
    <t xml:space="preserve">2026.06.19 А/888 </t>
  </si>
  <si>
    <t xml:space="preserve">2026.06.19 А/889 </t>
  </si>
  <si>
    <t xml:space="preserve">2026.06.23 A/915 </t>
  </si>
  <si>
    <t>2026.05.14 A-703</t>
  </si>
  <si>
    <t>2026.04.20 А/580</t>
  </si>
  <si>
    <t>2026.04.20 А/581</t>
  </si>
  <si>
    <t>2026.04.22 A/599</t>
  </si>
  <si>
    <t>2026.05.14 A/702</t>
  </si>
  <si>
    <t>2026.04.23 А/608</t>
  </si>
  <si>
    <t>Төсөвгүй</t>
  </si>
  <si>
    <t>ТХХТ, НОСК “Материалимпэкс” ХХК</t>
  </si>
  <si>
    <t>ТХХТ, НОСК</t>
  </si>
  <si>
    <t>ТХХТ, ХААН банк</t>
  </si>
  <si>
    <t>Нийслэл, СХМХК ХХК</t>
  </si>
  <si>
    <t>Нийслэл, СХД</t>
  </si>
  <si>
    <t>ТХХТ, НОСК, “Материалимпэкс” ХХК</t>
  </si>
  <si>
    <t>ТХХТ, Шунхлай</t>
  </si>
  <si>
    <t>2026.07.22 А/1022</t>
  </si>
  <si>
    <t>2026.07.22 А/1019</t>
  </si>
  <si>
    <t>2026.07.22 А/1023</t>
  </si>
  <si>
    <t>2026.07.22 А/1020</t>
  </si>
  <si>
    <t>2026.07.22 А/1021</t>
  </si>
  <si>
    <t>2026.07.24 А/1033</t>
  </si>
  <si>
    <t>2026.07.24 А/1034</t>
  </si>
  <si>
    <t xml:space="preserve">Албан бичгийн төсөл албаны дарга </t>
  </si>
  <si>
    <t>Санхүү төрийн сан</t>
  </si>
  <si>
    <t>Захирамжийн төсөл ГЧХ-1</t>
  </si>
  <si>
    <t>Олон улс, Ногоон орон сууц</t>
  </si>
  <si>
    <t>2026.07.22</t>
  </si>
  <si>
    <t>2026.07.21</t>
  </si>
  <si>
    <t>2026.07.23</t>
  </si>
  <si>
    <t>2026.07.27</t>
  </si>
  <si>
    <t>2026.07.24</t>
  </si>
  <si>
    <t>2026.01.09 А/34</t>
  </si>
  <si>
    <t>2026.01.30 А/145</t>
  </si>
  <si>
    <t>Баянгол дүүргийн 20 дугаар хорооны нутаг дэвсгэрт баригдах “ТЭЦ-5 дулааны цахилгаан станцын барих ажил”</t>
  </si>
  <si>
    <t>Сонгинохайрхан дүүрэг 41 хороо Зээлийн 124 дүгээр сургууль 158 дугаар цэцэрлэг хүртэлх шинээр баригдах авто зам</t>
  </si>
  <si>
    <t>2026.05.25</t>
  </si>
  <si>
    <t>хууль Дөлөө</t>
  </si>
  <si>
    <t>2025.05.13</t>
  </si>
  <si>
    <t>Хэлтсийн дарга Б.Мягмарсүрэн</t>
  </si>
  <si>
    <t>Хууль Сайнбаяр-с Алтанзулд гэрээ засуулж байгаа</t>
  </si>
  <si>
    <t>Хууль Сайнбаяр</t>
  </si>
  <si>
    <t>Мөнхбат орлогч</t>
  </si>
  <si>
    <t>Албаны дарга</t>
  </si>
  <si>
    <t>II-70</t>
  </si>
  <si>
    <t>II-71</t>
  </si>
  <si>
    <t xml:space="preserve">Хог хаягдал </t>
  </si>
  <si>
    <t xml:space="preserve">Гамшгаас хамгаалах </t>
  </si>
  <si>
    <t>A/468 2026.04.01</t>
  </si>
  <si>
    <t>A/497 2026.04.06</t>
  </si>
  <si>
    <t xml:space="preserve"> тохижилт ногоон байгууламж </t>
  </si>
  <si>
    <t>Сонгинохайрхан дүүргийн 43 дугаар  хорооны нутаг дэвсгэрт баригдах “640 хүүхдийн суудал бүхий сургууль барих” ажил</t>
  </si>
  <si>
    <t>Баянгол дүүргийн 16 дугаар хорооны нутаг дэвсгэрт баригдах “Гандангийн жишиг гудамжны тохижилт бүтээн байгуулалт”-ын ажил</t>
  </si>
  <si>
    <t>Сонгинохайрхан дүүргийн 35 дугаар хорооны нутаг дэвсгэрт баригдах “960 хүүхдийн суудал бүхий сургууль барих” ажил</t>
  </si>
  <si>
    <t>А/1032 2026.07.24</t>
  </si>
  <si>
    <t>А/1035 2026.07.24</t>
  </si>
  <si>
    <t xml:space="preserve">   1,928,807,000 
</t>
  </si>
  <si>
    <t xml:space="preserve">    531,769,000
</t>
  </si>
  <si>
    <t>Дүүрэг</t>
  </si>
  <si>
    <t xml:space="preserve">эрүүл мэндийн төв </t>
  </si>
  <si>
    <t>иргэн бурмаагийн гэрээ албаны дарга</t>
  </si>
  <si>
    <t xml:space="preserve">Төрийн сангий хэлтэст </t>
  </si>
  <si>
    <t>2026.07.06</t>
  </si>
  <si>
    <t xml:space="preserve">Хуулийн хэлтэс </t>
  </si>
  <si>
    <t xml:space="preserve"> 2026.07.22</t>
  </si>
  <si>
    <t xml:space="preserve">СААХ Д.Авирмэд дарга </t>
  </si>
  <si>
    <t>II-72</t>
  </si>
  <si>
    <t>II-73</t>
  </si>
  <si>
    <t>II-74</t>
  </si>
  <si>
    <t>2026.08.03 А/1069</t>
  </si>
  <si>
    <t>Албан бичгийн төсөл албаны даргаар хянагдав</t>
  </si>
  <si>
    <t xml:space="preserve">Орлогч Мөнхбат </t>
  </si>
  <si>
    <t>II-75</t>
  </si>
  <si>
    <t>Багахангай-Хөшигийн хөндий-Эмээлт чиглэлийн салбар төмөр зам</t>
  </si>
  <si>
    <t>Төмөр зам</t>
  </si>
  <si>
    <t>2026.07.31 А/1062</t>
  </si>
  <si>
    <t>2026.07.31 А/1063</t>
  </si>
  <si>
    <t xml:space="preserve">2026.07.31 А/1058 </t>
  </si>
  <si>
    <t xml:space="preserve">2026.08.04 А/1070 </t>
  </si>
  <si>
    <t xml:space="preserve">2026.08.04 А/1071 </t>
  </si>
  <si>
    <t xml:space="preserve">2026.08.04 А/1072 </t>
  </si>
  <si>
    <t xml:space="preserve">2026.08.04 А/1073 </t>
  </si>
  <si>
    <t xml:space="preserve">2026.08.04 А/1074 </t>
  </si>
  <si>
    <t xml:space="preserve">2026.08.04 А/1075 </t>
  </si>
  <si>
    <t xml:space="preserve">2026.08.04 А/1076 </t>
  </si>
  <si>
    <t xml:space="preserve">2026.08.04 А/1077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</si>
</sst>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_(* \(#,##0\);_(* &quot;-&quot;??_);_(@_)"/>
    <numFmt numFmtId="166" formatCode="_(* #,##0.0_);_(* \(#,##0.0\);_(* &quot;-&quot;??_);_(@_)"/>
  </numFmts>
  <fonts count="9"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i/>
      <sz val="9"/>
      <color theme="1"/>
      <name val="Arial"/>
      <family val="2"/>
    </font>
    <font>
      <sz val="9"/>
      <name val="Arial"/>
      <family val="2"/>
    </font>
    <font>
      <sz val="9"/>
      <color rgb="FF000000"/>
      <name val="Arial"/>
      <family val="2"/>
    </font>
    <font>
      <b/>
      <sz val="9"/>
      <color rgb="FFFF0000"/>
      <name val="Arial"/>
      <family val="2"/>
    </font>
    <font>
      <b/>
      <sz val="9"/>
      <color theme="5" tint="-0.499984740745262"/>
      <name val="Arial"/>
      <family val="2"/>
    </font>
  </fonts>
  <fills count="1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CE4D6"/>
        <bgColor rgb="FF000000"/>
      </patternFill>
    </fill>
    <fill>
      <patternFill patternType="solid">
        <fgColor theme="8"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164" fontId="1" fillId="0" borderId="0" applyFont="0" applyFill="0" applyBorder="0" applyAlignment="0" applyProtection="0"/>
    <xf numFmtId="0" fontId="1" fillId="0" borderId="0"/>
  </cellStyleXfs>
  <cellXfs count="208">
    <xf numFmtId="0" fontId="0" fillId="0" borderId="0" xfId="0"/>
    <xf numFmtId="0" fontId="3" fillId="0" borderId="0" xfId="0" applyFont="1" applyAlignment="1">
      <alignment horizontal="center" vertical="center"/>
    </xf>
    <xf numFmtId="0" fontId="3" fillId="0" borderId="0" xfId="0" applyFont="1" applyAlignment="1">
      <alignment horizontal="left" vertical="center" wrapText="1"/>
    </xf>
    <xf numFmtId="165" fontId="3" fillId="0" borderId="0" xfId="2" applyNumberFormat="1" applyFont="1" applyAlignment="1">
      <alignment horizontal="left" vertical="center" wrapText="1"/>
    </xf>
    <xf numFmtId="165" fontId="3" fillId="0" borderId="0" xfId="1" applyNumberFormat="1" applyFont="1" applyAlignment="1">
      <alignment horizontal="left" vertical="center"/>
    </xf>
    <xf numFmtId="14" fontId="3" fillId="0" borderId="0" xfId="0" applyNumberFormat="1" applyFont="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2" borderId="1" xfId="0" applyFont="1" applyFill="1" applyBorder="1" applyAlignment="1">
      <alignment horizontal="left" vertical="center"/>
    </xf>
    <xf numFmtId="0" fontId="3" fillId="5" borderId="1" xfId="0" applyFont="1" applyFill="1" applyBorder="1" applyAlignment="1">
      <alignment horizontal="left" vertical="center" wrapText="1"/>
    </xf>
    <xf numFmtId="0" fontId="3" fillId="6" borderId="1" xfId="0" applyFont="1" applyFill="1" applyBorder="1" applyAlignment="1">
      <alignment horizontal="right" vertical="center" wrapText="1"/>
    </xf>
    <xf numFmtId="165" fontId="3" fillId="2" borderId="1" xfId="1" applyNumberFormat="1" applyFont="1" applyFill="1" applyBorder="1" applyAlignment="1">
      <alignment horizontal="left" vertical="center"/>
    </xf>
    <xf numFmtId="165" fontId="3" fillId="5" borderId="1" xfId="1" applyNumberFormat="1" applyFont="1" applyFill="1" applyBorder="1" applyAlignment="1">
      <alignment horizontal="left" vertical="center"/>
    </xf>
    <xf numFmtId="165" fontId="3" fillId="6" borderId="1" xfId="1" applyNumberFormat="1" applyFont="1" applyFill="1" applyBorder="1" applyAlignment="1">
      <alignment horizontal="left" vertical="center"/>
    </xf>
    <xf numFmtId="165" fontId="2" fillId="6" borderId="1" xfId="1" applyNumberFormat="1" applyFont="1" applyFill="1" applyBorder="1" applyAlignment="1">
      <alignment horizontal="left" vertical="center"/>
    </xf>
    <xf numFmtId="0" fontId="3" fillId="6" borderId="1" xfId="0" applyFont="1" applyFill="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165" fontId="2" fillId="4" borderId="1" xfId="1" applyNumberFormat="1" applyFont="1" applyFill="1" applyBorder="1" applyAlignment="1">
      <alignment horizontal="left" vertical="center"/>
    </xf>
    <xf numFmtId="0" fontId="2" fillId="4" borderId="1" xfId="0" applyFont="1" applyFill="1" applyBorder="1" applyAlignment="1">
      <alignment horizontal="left" vertical="center"/>
    </xf>
    <xf numFmtId="0" fontId="3" fillId="0" borderId="1" xfId="0" applyNumberFormat="1" applyFont="1" applyBorder="1" applyAlignment="1">
      <alignment horizontal="center" vertical="center" wrapText="1"/>
    </xf>
    <xf numFmtId="165" fontId="3" fillId="0" borderId="1" xfId="1"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165" fontId="2" fillId="2" borderId="1" xfId="0" applyNumberFormat="1" applyFont="1" applyFill="1" applyBorder="1" applyAlignment="1">
      <alignment horizontal="left" vertical="center" wrapText="1"/>
    </xf>
    <xf numFmtId="165" fontId="2" fillId="4" borderId="1" xfId="0" applyNumberFormat="1" applyFont="1" applyFill="1" applyBorder="1" applyAlignment="1">
      <alignment horizontal="left" vertical="center" wrapText="1"/>
    </xf>
    <xf numFmtId="165" fontId="3" fillId="0" borderId="0" xfId="0" applyNumberFormat="1" applyFont="1" applyAlignment="1">
      <alignment horizontal="left" vertical="center" wrapText="1"/>
    </xf>
    <xf numFmtId="165" fontId="3" fillId="4" borderId="0" xfId="1" applyNumberFormat="1" applyFont="1" applyFill="1" applyAlignment="1">
      <alignment horizontal="left" vertical="center"/>
    </xf>
    <xf numFmtId="165" fontId="2" fillId="0" borderId="0" xfId="1" applyNumberFormat="1" applyFont="1" applyAlignment="1">
      <alignment horizontal="left" vertical="center"/>
    </xf>
    <xf numFmtId="0" fontId="2"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7" borderId="7" xfId="0" applyFont="1" applyFill="1" applyBorder="1" applyAlignment="1">
      <alignment horizontal="center" vertical="center" wrapText="1"/>
    </xf>
    <xf numFmtId="165" fontId="4" fillId="0" borderId="8" xfId="0" applyNumberFormat="1" applyFont="1" applyBorder="1" applyAlignment="1">
      <alignment horizontal="center" vertical="center"/>
    </xf>
    <xf numFmtId="43" fontId="4" fillId="0" borderId="10" xfId="0" applyNumberFormat="1" applyFont="1" applyBorder="1" applyAlignment="1">
      <alignment horizontal="center" vertical="center"/>
    </xf>
    <xf numFmtId="0" fontId="3" fillId="0" borderId="12" xfId="0" applyFont="1" applyBorder="1" applyAlignment="1">
      <alignment horizontal="center" vertical="center" wrapText="1"/>
    </xf>
    <xf numFmtId="43" fontId="4" fillId="0" borderId="13" xfId="0" applyNumberFormat="1" applyFont="1" applyBorder="1" applyAlignment="1">
      <alignment horizontal="center" vertical="center"/>
    </xf>
    <xf numFmtId="165" fontId="4" fillId="0" borderId="15" xfId="1" applyNumberFormat="1" applyFont="1" applyBorder="1" applyAlignment="1">
      <alignment horizontal="center" vertical="center"/>
    </xf>
    <xf numFmtId="43" fontId="4" fillId="0" borderId="16" xfId="1" applyFont="1" applyBorder="1" applyAlignment="1">
      <alignment horizontal="center" vertical="center"/>
    </xf>
    <xf numFmtId="2" fontId="3" fillId="7" borderId="1" xfId="0" applyNumberFormat="1" applyFont="1" applyFill="1" applyBorder="1" applyAlignment="1">
      <alignment horizontal="center" vertical="center" wrapText="1"/>
    </xf>
    <xf numFmtId="2" fontId="3" fillId="7" borderId="12" xfId="0" applyNumberFormat="1" applyFont="1" applyFill="1" applyBorder="1" applyAlignment="1">
      <alignment horizontal="center" vertical="center" wrapText="1"/>
    </xf>
    <xf numFmtId="0" fontId="3" fillId="0" borderId="8" xfId="0" applyFont="1" applyFill="1" applyBorder="1" applyAlignment="1">
      <alignment horizontal="center" vertical="center" wrapText="1"/>
    </xf>
    <xf numFmtId="0" fontId="2" fillId="0" borderId="17" xfId="0" applyFont="1" applyBorder="1" applyAlignment="1">
      <alignment horizontal="center" vertical="center" wrapText="1"/>
    </xf>
    <xf numFmtId="43" fontId="4" fillId="0" borderId="18" xfId="0" applyNumberFormat="1" applyFont="1" applyBorder="1" applyAlignment="1">
      <alignment horizontal="center" vertical="center"/>
    </xf>
    <xf numFmtId="43" fontId="4" fillId="0" borderId="10" xfId="1" applyFont="1" applyBorder="1" applyAlignment="1">
      <alignment horizontal="center" vertical="center"/>
    </xf>
    <xf numFmtId="2" fontId="0" fillId="0" borderId="0" xfId="0" applyNumberFormat="1"/>
    <xf numFmtId="0" fontId="2" fillId="8" borderId="1" xfId="0" applyFont="1" applyFill="1" applyBorder="1" applyAlignment="1">
      <alignment horizontal="left" vertical="center"/>
    </xf>
    <xf numFmtId="0" fontId="2" fillId="8" borderId="1" xfId="0" applyFont="1" applyFill="1" applyBorder="1" applyAlignment="1">
      <alignment horizontal="left" vertical="center" wrapText="1"/>
    </xf>
    <xf numFmtId="0" fontId="2" fillId="8" borderId="0" xfId="0" applyFont="1" applyFill="1" applyAlignment="1">
      <alignment horizontal="left" vertical="center"/>
    </xf>
    <xf numFmtId="0" fontId="2" fillId="3" borderId="0" xfId="0" applyFont="1" applyFill="1" applyAlignment="1">
      <alignment horizontal="left" vertical="center"/>
    </xf>
    <xf numFmtId="165" fontId="3" fillId="0" borderId="0" xfId="0" applyNumberFormat="1" applyFont="1" applyAlignment="1">
      <alignment horizontal="left" vertical="center"/>
    </xf>
    <xf numFmtId="0" fontId="3" fillId="0" borderId="0" xfId="0" applyNumberFormat="1" applyFont="1" applyAlignment="1">
      <alignment horizontal="center" vertical="center" wrapText="1"/>
    </xf>
    <xf numFmtId="0" fontId="2" fillId="6" borderId="1" xfId="0" applyNumberFormat="1" applyFont="1" applyFill="1" applyBorder="1" applyAlignment="1">
      <alignment horizontal="center" vertical="center"/>
    </xf>
    <xf numFmtId="0" fontId="3" fillId="0" borderId="0" xfId="0" applyNumberFormat="1" applyFont="1" applyAlignment="1">
      <alignment horizontal="center" vertical="center"/>
    </xf>
    <xf numFmtId="0" fontId="2" fillId="0" borderId="0" xfId="0" applyNumberFormat="1" applyFont="1" applyAlignment="1">
      <alignment horizontal="center" vertical="center"/>
    </xf>
    <xf numFmtId="0" fontId="2" fillId="8" borderId="1" xfId="0" applyNumberFormat="1" applyFont="1" applyFill="1" applyBorder="1" applyAlignment="1">
      <alignment horizontal="center" vertical="center"/>
    </xf>
    <xf numFmtId="0" fontId="3" fillId="0" borderId="1" xfId="0" applyFont="1" applyBorder="1" applyAlignment="1">
      <alignment horizontal="left" vertical="center"/>
    </xf>
    <xf numFmtId="1" fontId="3" fillId="7" borderId="7"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NumberFormat="1" applyFont="1" applyFill="1" applyBorder="1" applyAlignment="1">
      <alignment horizontal="center" vertical="center"/>
    </xf>
    <xf numFmtId="1" fontId="3" fillId="7" borderId="14" xfId="0" applyNumberFormat="1" applyFont="1" applyFill="1" applyBorder="1" applyAlignment="1">
      <alignment horizontal="center" vertical="center" wrapText="1"/>
    </xf>
    <xf numFmtId="165" fontId="2" fillId="0" borderId="0" xfId="0" applyNumberFormat="1" applyFont="1" applyAlignment="1">
      <alignment horizontal="left" vertical="center" wrapText="1"/>
    </xf>
    <xf numFmtId="0" fontId="2" fillId="3" borderId="1" xfId="0" applyFont="1" applyFill="1" applyBorder="1" applyAlignment="1">
      <alignment horizontal="left" vertical="center" wrapText="1"/>
    </xf>
    <xf numFmtId="165" fontId="2" fillId="3" borderId="1" xfId="1" applyNumberFormat="1" applyFont="1" applyFill="1" applyBorder="1" applyAlignment="1">
      <alignment horizontal="center" vertical="center"/>
    </xf>
    <xf numFmtId="0" fontId="2" fillId="3" borderId="1" xfId="0" applyFont="1" applyFill="1" applyBorder="1" applyAlignment="1">
      <alignment horizontal="left" vertical="center"/>
    </xf>
    <xf numFmtId="43" fontId="3" fillId="0" borderId="0" xfId="1" applyFont="1" applyAlignment="1">
      <alignment horizontal="left" vertical="center"/>
    </xf>
    <xf numFmtId="0" fontId="3" fillId="0" borderId="6" xfId="0" applyFont="1" applyBorder="1" applyAlignment="1">
      <alignment horizontal="center" vertical="center" wrapText="1"/>
    </xf>
    <xf numFmtId="0" fontId="3" fillId="2" borderId="0" xfId="0" applyFont="1" applyFill="1" applyAlignment="1">
      <alignment vertical="center"/>
    </xf>
    <xf numFmtId="2" fontId="2" fillId="7" borderId="5"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4" xfId="0" applyFont="1" applyFill="1" applyBorder="1" applyAlignment="1">
      <alignment vertical="center"/>
    </xf>
    <xf numFmtId="165" fontId="3" fillId="2" borderId="1" xfId="1" applyNumberFormat="1" applyFont="1" applyFill="1" applyBorder="1" applyAlignment="1">
      <alignment vertical="center"/>
    </xf>
    <xf numFmtId="0" fontId="3" fillId="2" borderId="1" xfId="0" applyFont="1" applyFill="1" applyBorder="1" applyAlignment="1">
      <alignment horizontal="left" vertical="center" wrapText="1"/>
    </xf>
    <xf numFmtId="0" fontId="3" fillId="9" borderId="0" xfId="0" applyFont="1" applyFill="1" applyAlignment="1">
      <alignment horizontal="left" vertical="center"/>
    </xf>
    <xf numFmtId="0" fontId="3" fillId="2" borderId="1" xfId="0" applyFont="1" applyFill="1" applyBorder="1" applyAlignment="1">
      <alignment horizontal="right" vertical="center"/>
    </xf>
    <xf numFmtId="165" fontId="2" fillId="8" borderId="1" xfId="1" applyNumberFormat="1" applyFont="1" applyFill="1" applyBorder="1" applyAlignment="1">
      <alignment horizontal="center" vertical="center"/>
    </xf>
    <xf numFmtId="0" fontId="3" fillId="2" borderId="1" xfId="0" applyFont="1" applyFill="1" applyBorder="1" applyAlignment="1">
      <alignment vertical="center"/>
    </xf>
    <xf numFmtId="165" fontId="2" fillId="6" borderId="1" xfId="1" applyNumberFormat="1" applyFont="1" applyFill="1" applyBorder="1" applyAlignment="1">
      <alignment horizontal="center" vertical="center"/>
    </xf>
    <xf numFmtId="0" fontId="3" fillId="4" borderId="1" xfId="0" applyFont="1" applyFill="1" applyBorder="1" applyAlignment="1">
      <alignment horizontal="left" vertical="center" wrapText="1"/>
    </xf>
    <xf numFmtId="0" fontId="3" fillId="10" borderId="7" xfId="0" applyFont="1" applyFill="1" applyBorder="1" applyAlignment="1">
      <alignment horizontal="center" vertical="center" wrapText="1"/>
    </xf>
    <xf numFmtId="0" fontId="2" fillId="10" borderId="5" xfId="0" applyFont="1" applyFill="1" applyBorder="1" applyAlignment="1">
      <alignment horizontal="center" vertical="center" wrapText="1"/>
    </xf>
    <xf numFmtId="1" fontId="3" fillId="10" borderId="7" xfId="0" applyNumberFormat="1" applyFont="1" applyFill="1" applyBorder="1" applyAlignment="1">
      <alignment horizontal="center" vertical="center" wrapText="1"/>
    </xf>
    <xf numFmtId="2" fontId="3" fillId="10" borderId="1" xfId="0" applyNumberFormat="1" applyFont="1" applyFill="1" applyBorder="1" applyAlignment="1">
      <alignment horizontal="center" vertical="center" wrapText="1"/>
    </xf>
    <xf numFmtId="2" fontId="3" fillId="10" borderId="12" xfId="0" applyNumberFormat="1" applyFont="1" applyFill="1" applyBorder="1" applyAlignment="1">
      <alignment horizontal="center" vertical="center" wrapText="1"/>
    </xf>
    <xf numFmtId="2" fontId="3" fillId="10" borderId="19" xfId="0" applyNumberFormat="1"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3" fillId="3" borderId="0" xfId="0" applyFont="1" applyFill="1" applyAlignment="1">
      <alignment horizontal="center" vertical="center"/>
    </xf>
    <xf numFmtId="0" fontId="2" fillId="3" borderId="0" xfId="0" applyFont="1" applyFill="1" applyAlignment="1">
      <alignment horizontal="center" vertical="center"/>
    </xf>
    <xf numFmtId="165" fontId="2" fillId="3" borderId="1" xfId="0" applyNumberFormat="1" applyFont="1" applyFill="1" applyBorder="1" applyAlignment="1">
      <alignment horizontal="left" vertical="center" wrapText="1"/>
    </xf>
    <xf numFmtId="165" fontId="3" fillId="0" borderId="0" xfId="1" applyNumberFormat="1" applyFont="1" applyAlignment="1">
      <alignment horizontal="center" vertical="center"/>
    </xf>
    <xf numFmtId="0" fontId="3" fillId="2" borderId="21" xfId="0" applyFont="1" applyFill="1" applyBorder="1" applyAlignment="1">
      <alignment vertical="center"/>
    </xf>
    <xf numFmtId="165" fontId="3" fillId="2" borderId="19" xfId="1" applyNumberFormat="1" applyFont="1" applyFill="1" applyBorder="1" applyAlignment="1">
      <alignment vertical="center"/>
    </xf>
    <xf numFmtId="0" fontId="3" fillId="2" borderId="19" xfId="0" applyFont="1" applyFill="1" applyBorder="1" applyAlignment="1">
      <alignment horizontal="left" vertical="center"/>
    </xf>
    <xf numFmtId="43" fontId="4" fillId="0" borderId="13" xfId="0" applyNumberFormat="1" applyFont="1" applyBorder="1" applyAlignment="1">
      <alignment horizontal="center" vertical="center" wrapText="1"/>
    </xf>
    <xf numFmtId="0" fontId="3" fillId="11" borderId="0" xfId="0" applyFont="1" applyFill="1" applyAlignment="1">
      <alignment horizontal="left" vertical="center"/>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2" fontId="2" fillId="10" borderId="24" xfId="0" applyNumberFormat="1" applyFont="1" applyFill="1" applyBorder="1" applyAlignment="1">
      <alignment horizontal="center" vertical="center" wrapText="1"/>
    </xf>
    <xf numFmtId="2" fontId="2" fillId="7" borderId="24" xfId="0" applyNumberFormat="1" applyFont="1" applyFill="1" applyBorder="1" applyAlignment="1">
      <alignment horizontal="center" vertical="center" wrapText="1"/>
    </xf>
    <xf numFmtId="43" fontId="4" fillId="0" borderId="25" xfId="0" applyNumberFormat="1" applyFont="1" applyBorder="1" applyAlignment="1">
      <alignment horizontal="center" vertical="center"/>
    </xf>
    <xf numFmtId="165" fontId="3" fillId="0" borderId="0" xfId="1" applyNumberFormat="1" applyFont="1" applyAlignment="1">
      <alignment horizontal="left" vertical="center" wrapText="1"/>
    </xf>
    <xf numFmtId="0" fontId="2" fillId="12" borderId="1" xfId="0" applyFont="1" applyFill="1" applyBorder="1" applyAlignment="1">
      <alignment horizontal="center" vertical="center"/>
    </xf>
    <xf numFmtId="0" fontId="3" fillId="12" borderId="4" xfId="0" applyFont="1" applyFill="1" applyBorder="1" applyAlignment="1">
      <alignment vertical="center"/>
    </xf>
    <xf numFmtId="165" fontId="3" fillId="12" borderId="1" xfId="1" applyNumberFormat="1" applyFont="1" applyFill="1" applyBorder="1" applyAlignment="1">
      <alignment vertical="center"/>
    </xf>
    <xf numFmtId="0" fontId="3" fillId="12" borderId="1" xfId="0" applyFont="1" applyFill="1" applyBorder="1" applyAlignment="1">
      <alignment horizontal="left" vertical="center" wrapText="1"/>
    </xf>
    <xf numFmtId="0" fontId="3" fillId="12" borderId="1" xfId="0" applyFont="1" applyFill="1" applyBorder="1" applyAlignment="1">
      <alignment horizontal="left" vertical="center"/>
    </xf>
    <xf numFmtId="0" fontId="2" fillId="12" borderId="1" xfId="0" applyFont="1" applyFill="1" applyBorder="1" applyAlignment="1">
      <alignment horizontal="left" vertical="center"/>
    </xf>
    <xf numFmtId="0" fontId="3" fillId="12" borderId="0" xfId="0" applyFont="1" applyFill="1" applyAlignment="1">
      <alignment vertical="center"/>
    </xf>
    <xf numFmtId="0" fontId="2" fillId="12" borderId="1" xfId="0" applyNumberFormat="1" applyFont="1" applyFill="1" applyBorder="1" applyAlignment="1">
      <alignment horizontal="center" vertical="center"/>
    </xf>
    <xf numFmtId="165" fontId="3" fillId="12" borderId="1" xfId="0" applyNumberFormat="1" applyFont="1" applyFill="1" applyBorder="1" applyAlignment="1">
      <alignment vertical="center"/>
    </xf>
    <xf numFmtId="165" fontId="3" fillId="12" borderId="5" xfId="1" applyNumberFormat="1" applyFont="1" applyFill="1" applyBorder="1" applyAlignment="1">
      <alignment horizontal="left" vertical="center" wrapText="1"/>
    </xf>
    <xf numFmtId="0" fontId="3" fillId="12" borderId="0" xfId="0" applyFont="1" applyFill="1" applyAlignment="1">
      <alignment horizontal="left" vertical="center"/>
    </xf>
    <xf numFmtId="0" fontId="5" fillId="12" borderId="5" xfId="0" applyFont="1" applyFill="1" applyBorder="1" applyAlignment="1">
      <alignment horizontal="left" vertical="center" wrapText="1"/>
    </xf>
    <xf numFmtId="0" fontId="3" fillId="12" borderId="1" xfId="0" applyFont="1" applyFill="1" applyBorder="1" applyAlignment="1">
      <alignment vertical="center"/>
    </xf>
    <xf numFmtId="165" fontId="3" fillId="12" borderId="1" xfId="0" applyNumberFormat="1" applyFont="1" applyFill="1" applyBorder="1" applyAlignment="1">
      <alignment horizontal="left" vertical="center"/>
    </xf>
    <xf numFmtId="0" fontId="5" fillId="12" borderId="1" xfId="0" applyFont="1" applyFill="1" applyBorder="1" applyAlignment="1">
      <alignment horizontal="left" vertical="center" wrapText="1"/>
    </xf>
    <xf numFmtId="0" fontId="3" fillId="12" borderId="1" xfId="0" applyFont="1" applyFill="1" applyBorder="1" applyAlignment="1">
      <alignment vertical="center" wrapText="1"/>
    </xf>
    <xf numFmtId="165" fontId="3" fillId="12" borderId="19" xfId="0" applyNumberFormat="1" applyFont="1" applyFill="1" applyBorder="1" applyAlignment="1">
      <alignment horizontal="left" vertical="center"/>
    </xf>
    <xf numFmtId="165" fontId="3" fillId="12" borderId="19" xfId="1" applyNumberFormat="1" applyFont="1" applyFill="1" applyBorder="1" applyAlignment="1">
      <alignment vertical="center"/>
    </xf>
    <xf numFmtId="3" fontId="3" fillId="12" borderId="1" xfId="0" applyNumberFormat="1" applyFont="1" applyFill="1" applyBorder="1" applyAlignment="1">
      <alignment vertical="center"/>
    </xf>
    <xf numFmtId="3" fontId="3" fillId="12" borderId="1" xfId="0" applyNumberFormat="1" applyFont="1" applyFill="1" applyBorder="1" applyAlignment="1">
      <alignment horizontal="center" vertical="center"/>
    </xf>
    <xf numFmtId="3" fontId="6" fillId="12" borderId="1" xfId="0" applyNumberFormat="1" applyFont="1" applyFill="1" applyBorder="1" applyAlignment="1">
      <alignment horizontal="right" vertical="center"/>
    </xf>
    <xf numFmtId="0" fontId="2" fillId="4" borderId="0" xfId="0" applyFont="1" applyFill="1" applyAlignment="1">
      <alignment horizontal="right" vertical="center" wrapText="1"/>
    </xf>
    <xf numFmtId="165" fontId="3" fillId="12" borderId="1" xfId="0" applyNumberFormat="1" applyFont="1" applyFill="1" applyBorder="1" applyAlignment="1">
      <alignment horizontal="left" vertical="top" wrapText="1"/>
    </xf>
    <xf numFmtId="165" fontId="3" fillId="12" borderId="1" xfId="0" applyNumberFormat="1" applyFont="1" applyFill="1" applyBorder="1" applyAlignment="1">
      <alignment horizontal="left" vertical="center" wrapText="1"/>
    </xf>
    <xf numFmtId="0" fontId="6" fillId="13" borderId="1" xfId="0" applyFont="1" applyFill="1" applyBorder="1" applyAlignment="1">
      <alignment horizontal="left" vertical="center" wrapText="1"/>
    </xf>
    <xf numFmtId="0" fontId="6" fillId="13" borderId="4" xfId="0" applyFont="1" applyFill="1" applyBorder="1" applyAlignment="1">
      <alignment horizontal="left" vertical="center" wrapText="1"/>
    </xf>
    <xf numFmtId="3" fontId="3" fillId="2" borderId="0" xfId="0" applyNumberFormat="1" applyFont="1" applyFill="1" applyAlignment="1">
      <alignment vertical="center"/>
    </xf>
    <xf numFmtId="0" fontId="3" fillId="2" borderId="1" xfId="0" applyFont="1" applyFill="1" applyBorder="1" applyAlignment="1">
      <alignment wrapText="1"/>
    </xf>
    <xf numFmtId="0" fontId="3" fillId="2" borderId="0" xfId="0" applyFont="1" applyFill="1" applyAlignment="1">
      <alignment wrapText="1"/>
    </xf>
    <xf numFmtId="0" fontId="3" fillId="2" borderId="20" xfId="0" applyFont="1" applyFill="1" applyBorder="1" applyAlignment="1">
      <alignment vertical="center"/>
    </xf>
    <xf numFmtId="0" fontId="3" fillId="2" borderId="19" xfId="0" applyFont="1" applyFill="1" applyBorder="1" applyAlignment="1">
      <alignment wrapText="1"/>
    </xf>
    <xf numFmtId="0" fontId="3" fillId="2" borderId="19"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5" xfId="0" applyFont="1" applyFill="1" applyBorder="1" applyAlignment="1">
      <alignment horizontal="left" vertical="center"/>
    </xf>
    <xf numFmtId="0" fontId="3" fillId="14" borderId="1" xfId="0" applyFont="1" applyFill="1" applyBorder="1" applyAlignment="1">
      <alignment horizontal="left" vertical="center"/>
    </xf>
    <xf numFmtId="165" fontId="3" fillId="14" borderId="1" xfId="0" applyNumberFormat="1" applyFont="1" applyFill="1" applyBorder="1" applyAlignment="1">
      <alignment horizontal="left" vertical="center"/>
    </xf>
    <xf numFmtId="0" fontId="6"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3" fontId="6" fillId="14" borderId="1" xfId="0" applyNumberFormat="1" applyFont="1" applyFill="1" applyBorder="1" applyAlignment="1"/>
    <xf numFmtId="0" fontId="5" fillId="14" borderId="5" xfId="0" applyFont="1" applyFill="1" applyBorder="1" applyAlignment="1">
      <alignment horizontal="left" vertical="center" wrapText="1"/>
    </xf>
    <xf numFmtId="0" fontId="5" fillId="14" borderId="1" xfId="0" applyFont="1" applyFill="1" applyBorder="1" applyAlignment="1">
      <alignment horizontal="left" vertical="center" wrapText="1"/>
    </xf>
    <xf numFmtId="3" fontId="6" fillId="14" borderId="1" xfId="0" applyNumberFormat="1" applyFont="1" applyFill="1" applyBorder="1" applyAlignment="1">
      <alignment horizontal="right" vertical="center"/>
    </xf>
    <xf numFmtId="0" fontId="5" fillId="14" borderId="1" xfId="0" applyFont="1" applyFill="1" applyBorder="1" applyAlignment="1">
      <alignment vertical="center" wrapText="1"/>
    </xf>
    <xf numFmtId="3" fontId="6" fillId="14" borderId="1" xfId="0" applyNumberFormat="1" applyFont="1" applyFill="1" applyBorder="1" applyAlignment="1">
      <alignment horizontal="right" vertical="top" wrapText="1"/>
    </xf>
    <xf numFmtId="3" fontId="6" fillId="14" borderId="1" xfId="0" applyNumberFormat="1" applyFont="1" applyFill="1" applyBorder="1"/>
    <xf numFmtId="3" fontId="6" fillId="14" borderId="1" xfId="0" applyNumberFormat="1" applyFont="1" applyFill="1" applyBorder="1" applyAlignment="1">
      <alignment vertical="center"/>
    </xf>
    <xf numFmtId="3" fontId="3" fillId="14" borderId="1" xfId="0" applyNumberFormat="1" applyFont="1" applyFill="1" applyBorder="1"/>
    <xf numFmtId="3" fontId="6" fillId="14" borderId="1" xfId="0" applyNumberFormat="1" applyFont="1" applyFill="1" applyBorder="1" applyAlignment="1">
      <alignment wrapText="1"/>
    </xf>
    <xf numFmtId="3" fontId="6" fillId="14" borderId="1" xfId="0" applyNumberFormat="1" applyFont="1" applyFill="1" applyBorder="1" applyAlignment="1">
      <alignment horizontal="right" wrapText="1"/>
    </xf>
    <xf numFmtId="0" fontId="3" fillId="14" borderId="0" xfId="0" applyFont="1" applyFill="1" applyAlignment="1">
      <alignment horizontal="left" vertical="center"/>
    </xf>
    <xf numFmtId="0" fontId="3" fillId="14" borderId="5" xfId="0" applyFont="1" applyFill="1" applyBorder="1" applyAlignment="1">
      <alignment horizontal="left" vertical="center"/>
    </xf>
    <xf numFmtId="3" fontId="6" fillId="14" borderId="5" xfId="0" applyNumberFormat="1" applyFont="1" applyFill="1" applyBorder="1" applyAlignment="1">
      <alignment horizontal="right" vertical="center"/>
    </xf>
    <xf numFmtId="165" fontId="3" fillId="14" borderId="5" xfId="0" applyNumberFormat="1" applyFont="1" applyFill="1" applyBorder="1" applyAlignment="1">
      <alignment horizontal="left" vertical="center"/>
    </xf>
    <xf numFmtId="165" fontId="3" fillId="14" borderId="1" xfId="1" applyNumberFormat="1" applyFont="1" applyFill="1" applyBorder="1" applyAlignment="1">
      <alignment horizontal="right" vertical="center"/>
    </xf>
    <xf numFmtId="165" fontId="3" fillId="14" borderId="1" xfId="0" applyNumberFormat="1" applyFont="1" applyFill="1" applyBorder="1" applyAlignment="1">
      <alignment vertical="center"/>
    </xf>
    <xf numFmtId="165" fontId="3" fillId="14" borderId="5" xfId="1" applyNumberFormat="1" applyFont="1" applyFill="1" applyBorder="1" applyAlignment="1">
      <alignment horizontal="left" vertical="center" wrapText="1"/>
    </xf>
    <xf numFmtId="0" fontId="3" fillId="0" borderId="0" xfId="0" applyFont="1" applyAlignment="1">
      <alignment horizontal="center" vertical="center" wrapText="1"/>
    </xf>
    <xf numFmtId="0" fontId="3" fillId="9" borderId="0" xfId="0" applyFont="1" applyFill="1" applyAlignment="1">
      <alignment horizontal="left" vertical="center" wrapText="1"/>
    </xf>
    <xf numFmtId="43" fontId="3" fillId="3" borderId="1" xfId="0" applyNumberFormat="1" applyFont="1" applyFill="1" applyBorder="1" applyAlignment="1">
      <alignment horizontal="left" vertical="center" wrapText="1"/>
    </xf>
    <xf numFmtId="0" fontId="3" fillId="11" borderId="22" xfId="0" applyFont="1" applyFill="1" applyBorder="1" applyAlignment="1">
      <alignment horizontal="left" vertical="center" wrapText="1"/>
    </xf>
    <xf numFmtId="0" fontId="3" fillId="14" borderId="1" xfId="0" applyFont="1" applyFill="1" applyBorder="1"/>
    <xf numFmtId="0" fontId="3" fillId="14" borderId="0" xfId="0" applyFont="1" applyFill="1"/>
    <xf numFmtId="165" fontId="2" fillId="0" borderId="0" xfId="1" applyNumberFormat="1" applyFont="1" applyAlignment="1">
      <alignment horizontal="center" vertical="center" wrapText="1"/>
    </xf>
    <xf numFmtId="166" fontId="6" fillId="0" borderId="0" xfId="1" applyNumberFormat="1" applyFont="1"/>
    <xf numFmtId="165" fontId="3" fillId="0" borderId="1" xfId="1" applyNumberFormat="1" applyFont="1" applyBorder="1" applyAlignment="1">
      <alignment horizontal="center" vertical="center" wrapText="1"/>
    </xf>
    <xf numFmtId="165" fontId="3" fillId="12" borderId="1" xfId="1" applyNumberFormat="1" applyFont="1" applyFill="1" applyBorder="1" applyAlignment="1">
      <alignment horizontal="center" vertical="center"/>
    </xf>
    <xf numFmtId="165" fontId="3" fillId="2" borderId="1" xfId="1" applyNumberFormat="1" applyFont="1" applyFill="1" applyBorder="1" applyAlignment="1">
      <alignment horizontal="center" vertical="center"/>
    </xf>
    <xf numFmtId="165" fontId="3" fillId="14" borderId="1" xfId="1" applyNumberFormat="1" applyFont="1" applyFill="1" applyBorder="1" applyAlignment="1">
      <alignment horizontal="left" vertical="center"/>
    </xf>
    <xf numFmtId="165" fontId="3" fillId="14" borderId="1" xfId="1" applyNumberFormat="1" applyFont="1" applyFill="1" applyBorder="1" applyAlignment="1">
      <alignment vertical="center"/>
    </xf>
    <xf numFmtId="165" fontId="3" fillId="12" borderId="1" xfId="1" applyNumberFormat="1" applyFont="1" applyFill="1" applyBorder="1" applyAlignment="1">
      <alignment horizontal="right" vertical="center"/>
    </xf>
    <xf numFmtId="165" fontId="3" fillId="12" borderId="1" xfId="1" applyNumberFormat="1" applyFont="1" applyFill="1" applyBorder="1" applyAlignment="1">
      <alignment horizontal="left" vertical="center"/>
    </xf>
    <xf numFmtId="165" fontId="3" fillId="12" borderId="1" xfId="1" applyNumberFormat="1" applyFont="1" applyFill="1" applyBorder="1" applyAlignment="1">
      <alignment horizontal="center" vertical="center" wrapText="1"/>
    </xf>
    <xf numFmtId="165" fontId="3" fillId="2" borderId="19" xfId="1" applyNumberFormat="1" applyFont="1" applyFill="1" applyBorder="1" applyAlignment="1">
      <alignment horizontal="center" vertical="center"/>
    </xf>
    <xf numFmtId="165" fontId="3" fillId="12" borderId="19" xfId="1" applyNumberFormat="1" applyFont="1" applyFill="1" applyBorder="1" applyAlignment="1">
      <alignment horizontal="left" vertical="center"/>
    </xf>
    <xf numFmtId="165" fontId="3" fillId="12" borderId="19" xfId="1" applyNumberFormat="1" applyFont="1" applyFill="1" applyBorder="1" applyAlignment="1">
      <alignment horizontal="center" vertical="center"/>
    </xf>
    <xf numFmtId="165" fontId="6" fillId="14" borderId="5" xfId="1" applyNumberFormat="1" applyFont="1" applyFill="1" applyBorder="1" applyAlignment="1">
      <alignment horizontal="right" vertical="center"/>
    </xf>
    <xf numFmtId="165" fontId="3" fillId="14" borderId="1" xfId="1" applyNumberFormat="1" applyFont="1" applyFill="1" applyBorder="1" applyAlignment="1">
      <alignment horizontal="right" vertical="top"/>
    </xf>
    <xf numFmtId="165" fontId="6" fillId="14" borderId="1" xfId="1" applyNumberFormat="1" applyFont="1" applyFill="1" applyBorder="1"/>
    <xf numFmtId="165" fontId="6" fillId="14" borderId="1" xfId="1" applyNumberFormat="1" applyFont="1" applyFill="1" applyBorder="1" applyAlignment="1">
      <alignment horizontal="right" vertical="center"/>
    </xf>
    <xf numFmtId="165" fontId="6" fillId="12" borderId="1" xfId="1" applyNumberFormat="1" applyFont="1" applyFill="1" applyBorder="1" applyAlignment="1">
      <alignment horizontal="right" vertical="center"/>
    </xf>
    <xf numFmtId="165" fontId="6" fillId="14" borderId="1" xfId="1" applyNumberFormat="1" applyFont="1" applyFill="1" applyBorder="1" applyAlignment="1"/>
    <xf numFmtId="165" fontId="3" fillId="0" borderId="1" xfId="1" applyNumberFormat="1" applyFont="1" applyBorder="1" applyAlignment="1">
      <alignment horizontal="left" vertical="center"/>
    </xf>
    <xf numFmtId="165" fontId="2" fillId="0" borderId="1" xfId="1" applyNumberFormat="1" applyFont="1" applyBorder="1" applyAlignment="1">
      <alignment horizontal="left" vertical="center"/>
    </xf>
    <xf numFmtId="0" fontId="7" fillId="12"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165" fontId="3" fillId="0" borderId="0" xfId="1" applyNumberFormat="1" applyFont="1" applyAlignment="1">
      <alignment horizontal="center" vertical="center" wrapText="1"/>
    </xf>
    <xf numFmtId="165" fontId="3" fillId="14" borderId="1" xfId="1" applyNumberFormat="1" applyFont="1" applyFill="1" applyBorder="1" applyAlignment="1">
      <alignment horizontal="center" vertical="center" wrapText="1"/>
    </xf>
    <xf numFmtId="165" fontId="3" fillId="14" borderId="1" xfId="1" applyNumberFormat="1" applyFont="1" applyFill="1" applyBorder="1" applyAlignment="1">
      <alignment horizontal="center" vertical="center"/>
    </xf>
    <xf numFmtId="165" fontId="3" fillId="12" borderId="19" xfId="1" applyNumberFormat="1" applyFont="1" applyFill="1" applyBorder="1" applyAlignment="1">
      <alignment horizontal="center" vertical="center" wrapText="1"/>
    </xf>
    <xf numFmtId="165" fontId="3" fillId="14" borderId="5" xfId="1" applyNumberFormat="1" applyFont="1" applyFill="1" applyBorder="1" applyAlignment="1">
      <alignment horizontal="center" vertical="center" wrapText="1"/>
    </xf>
    <xf numFmtId="165" fontId="2" fillId="0" borderId="0" xfId="1" applyNumberFormat="1" applyFont="1" applyAlignment="1">
      <alignment horizontal="center" vertical="center"/>
    </xf>
    <xf numFmtId="165" fontId="3" fillId="0" borderId="1" xfId="1" applyNumberFormat="1" applyFont="1" applyBorder="1" applyAlignment="1">
      <alignment horizontal="center" vertical="center"/>
    </xf>
    <xf numFmtId="165" fontId="2" fillId="0" borderId="1" xfId="1" applyNumberFormat="1" applyFont="1" applyBorder="1" applyAlignment="1">
      <alignment horizontal="center" vertical="center"/>
    </xf>
    <xf numFmtId="0" fontId="8" fillId="12"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165" fontId="3" fillId="2" borderId="19" xfId="1" applyNumberFormat="1" applyFont="1" applyFill="1" applyBorder="1" applyAlignment="1">
      <alignment horizontal="right" vertical="center"/>
    </xf>
    <xf numFmtId="0" fontId="2" fillId="0" borderId="0" xfId="0" applyFont="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11" borderId="1"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cellXfs>
  <cellStyles count="4">
    <cellStyle name="Comma" xfId="1" builtinId="3"/>
    <cellStyle name="Comma 4" xfId="2" xr:uid="{6073D882-C5C2-401E-967D-97145B75E0CE}"/>
    <cellStyle name="Normal" xfId="0" builtinId="0"/>
    <cellStyle name="Normal 2" xfId="3" xr:uid="{1F0DAD8A-8E3E-4C2E-A988-5B7CEFBC5B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6E13-47B0-44E3-8F1B-8F14812DD13C}">
  <sheetPr>
    <pageSetUpPr fitToPage="1"/>
  </sheetPr>
  <dimension ref="A1:XFB238"/>
  <sheetViews>
    <sheetView topLeftCell="A207" zoomScale="85" zoomScaleNormal="85" workbookViewId="0">
      <selection sqref="A1:M232"/>
    </sheetView>
  </sheetViews>
  <sheetFormatPr defaultRowHeight="12" x14ac:dyDescent="0.25"/>
  <cols>
    <col min="1" max="1" width="4.28515625" style="89" customWidth="1"/>
    <col min="2" max="2" width="9.85546875" style="55" customWidth="1"/>
    <col min="3" max="3" width="18.140625" style="6" customWidth="1"/>
    <col min="4" max="4" width="10.42578125" style="92" bestFit="1" customWidth="1"/>
    <col min="5" max="5" width="13.5703125" style="4" customWidth="1"/>
    <col min="6" max="6" width="18.140625" style="4" customWidth="1"/>
    <col min="7" max="7" width="19" style="4" customWidth="1"/>
    <col min="8" max="8" width="84" style="2" customWidth="1"/>
    <col min="9" max="9" width="18.42578125" style="6" customWidth="1"/>
    <col min="10" max="10" width="8.7109375" style="6" customWidth="1"/>
    <col min="11" max="11" width="17.7109375" style="2" customWidth="1"/>
    <col min="12" max="12" width="26.7109375" style="2" customWidth="1"/>
    <col min="13" max="13" width="11.42578125" style="6" customWidth="1"/>
    <col min="14" max="16381" width="9.140625" style="6"/>
    <col min="16382" max="16382" width="14.5703125" style="6" bestFit="1" customWidth="1"/>
    <col min="16383" max="16384" width="9.140625" style="6"/>
  </cols>
  <sheetData>
    <row r="1" spans="1:13" s="1" customFormat="1" ht="15.75" customHeight="1" x14ac:dyDescent="0.25">
      <c r="A1" s="200" t="s">
        <v>0</v>
      </c>
      <c r="B1" s="200"/>
      <c r="C1" s="200"/>
      <c r="D1" s="200"/>
      <c r="E1" s="200"/>
      <c r="F1" s="200"/>
      <c r="G1" s="200"/>
      <c r="H1" s="200"/>
      <c r="I1" s="200"/>
      <c r="J1" s="200"/>
      <c r="K1" s="200"/>
      <c r="L1" s="160"/>
    </row>
    <row r="2" spans="1:13" ht="11.25" customHeight="1" x14ac:dyDescent="0.25">
      <c r="A2" s="87"/>
      <c r="B2" s="53"/>
      <c r="C2" s="3"/>
      <c r="D2" s="189"/>
      <c r="E2" s="103"/>
      <c r="I2" s="5"/>
      <c r="K2" s="125" t="s">
        <v>398</v>
      </c>
    </row>
    <row r="3" spans="1:13" s="1" customFormat="1" ht="84.75" customHeight="1" x14ac:dyDescent="0.25">
      <c r="A3" s="88" t="s">
        <v>1</v>
      </c>
      <c r="B3" s="22" t="s">
        <v>2</v>
      </c>
      <c r="C3" s="17" t="s">
        <v>3</v>
      </c>
      <c r="D3" s="168" t="s">
        <v>4</v>
      </c>
      <c r="E3" s="168" t="s">
        <v>5</v>
      </c>
      <c r="F3" s="23" t="s">
        <v>356</v>
      </c>
      <c r="G3" s="23" t="s">
        <v>80</v>
      </c>
      <c r="H3" s="17" t="s">
        <v>6</v>
      </c>
      <c r="I3" s="17" t="s">
        <v>7</v>
      </c>
      <c r="J3" s="18" t="s">
        <v>8</v>
      </c>
      <c r="K3" s="17" t="s">
        <v>9</v>
      </c>
      <c r="L3" s="17"/>
    </row>
    <row r="4" spans="1:13" s="75" customFormat="1" ht="18" customHeight="1" x14ac:dyDescent="0.25">
      <c r="A4" s="201" t="s">
        <v>10</v>
      </c>
      <c r="B4" s="202"/>
      <c r="C4" s="202"/>
      <c r="D4" s="202"/>
      <c r="E4" s="202"/>
      <c r="F4" s="202"/>
      <c r="G4" s="202"/>
      <c r="H4" s="202"/>
      <c r="I4" s="202"/>
      <c r="J4" s="202"/>
      <c r="K4" s="203"/>
      <c r="L4" s="161"/>
    </row>
    <row r="5" spans="1:13" s="110" customFormat="1" x14ac:dyDescent="0.25">
      <c r="A5" s="19">
        <v>1</v>
      </c>
      <c r="B5" s="104" t="s">
        <v>414</v>
      </c>
      <c r="C5" s="105" t="s">
        <v>47</v>
      </c>
      <c r="D5" s="169"/>
      <c r="E5" s="106"/>
      <c r="F5" s="122">
        <v>2000000000</v>
      </c>
      <c r="G5" s="123"/>
      <c r="H5" s="107" t="s">
        <v>140</v>
      </c>
      <c r="I5" s="107" t="s">
        <v>399</v>
      </c>
      <c r="J5" s="107">
        <v>2026</v>
      </c>
      <c r="K5" s="107" t="s">
        <v>14</v>
      </c>
      <c r="L5" s="107"/>
      <c r="M5" s="116"/>
    </row>
    <row r="6" spans="1:13" s="110" customFormat="1" x14ac:dyDescent="0.25">
      <c r="A6" s="88">
        <v>2</v>
      </c>
      <c r="B6" s="104" t="s">
        <v>400</v>
      </c>
      <c r="C6" s="105" t="s">
        <v>48</v>
      </c>
      <c r="D6" s="169">
        <v>1</v>
      </c>
      <c r="E6" s="169">
        <v>546</v>
      </c>
      <c r="F6" s="106">
        <v>2450517000</v>
      </c>
      <c r="G6" s="106"/>
      <c r="H6" s="107" t="s">
        <v>18</v>
      </c>
      <c r="I6" s="107" t="s">
        <v>94</v>
      </c>
      <c r="J6" s="107">
        <v>2026</v>
      </c>
      <c r="K6" s="107" t="s">
        <v>14</v>
      </c>
      <c r="L6" s="107"/>
      <c r="M6" s="116"/>
    </row>
    <row r="7" spans="1:13" s="69" customFormat="1" ht="24" x14ac:dyDescent="0.25">
      <c r="A7" s="19">
        <v>3</v>
      </c>
      <c r="B7" s="76" t="s">
        <v>45</v>
      </c>
      <c r="C7" s="72" t="s">
        <v>461</v>
      </c>
      <c r="D7" s="170">
        <v>1</v>
      </c>
      <c r="E7" s="170">
        <v>55.3</v>
      </c>
      <c r="F7" s="73">
        <v>35580000</v>
      </c>
      <c r="G7" s="73"/>
      <c r="H7" s="74" t="s">
        <v>46</v>
      </c>
      <c r="I7" s="74" t="s">
        <v>13</v>
      </c>
      <c r="J7" s="74">
        <v>2026</v>
      </c>
      <c r="K7" s="9" t="s">
        <v>14</v>
      </c>
      <c r="L7" s="9"/>
      <c r="M7" s="78"/>
    </row>
    <row r="8" spans="1:13" s="69" customFormat="1" ht="27" customHeight="1" x14ac:dyDescent="0.25">
      <c r="A8" s="88">
        <v>4</v>
      </c>
      <c r="B8" s="76" t="s">
        <v>41</v>
      </c>
      <c r="C8" s="72" t="s">
        <v>50</v>
      </c>
      <c r="D8" s="170">
        <v>2</v>
      </c>
      <c r="E8" s="170" t="s">
        <v>36</v>
      </c>
      <c r="F8" s="73">
        <v>105977000</v>
      </c>
      <c r="G8" s="73"/>
      <c r="H8" s="74" t="s">
        <v>87</v>
      </c>
      <c r="I8" s="74" t="s">
        <v>37</v>
      </c>
      <c r="J8" s="74">
        <v>2026</v>
      </c>
      <c r="K8" s="9" t="s">
        <v>14</v>
      </c>
      <c r="L8" s="9"/>
      <c r="M8" s="78"/>
    </row>
    <row r="9" spans="1:13" s="69" customFormat="1" ht="24" x14ac:dyDescent="0.25">
      <c r="A9" s="19">
        <v>5</v>
      </c>
      <c r="B9" s="76" t="s">
        <v>42</v>
      </c>
      <c r="C9" s="72" t="s">
        <v>462</v>
      </c>
      <c r="D9" s="170">
        <v>1</v>
      </c>
      <c r="E9" s="170">
        <v>2396</v>
      </c>
      <c r="F9" s="73">
        <v>1932176291</v>
      </c>
      <c r="G9" s="73"/>
      <c r="H9" s="74" t="s">
        <v>463</v>
      </c>
      <c r="I9" s="74" t="s">
        <v>13</v>
      </c>
      <c r="J9" s="74">
        <v>2026</v>
      </c>
      <c r="K9" s="9" t="s">
        <v>14</v>
      </c>
      <c r="L9" s="9"/>
      <c r="M9" s="78"/>
    </row>
    <row r="10" spans="1:13" s="69" customFormat="1" x14ac:dyDescent="0.25">
      <c r="A10" s="88">
        <v>6</v>
      </c>
      <c r="B10" s="76" t="s">
        <v>43</v>
      </c>
      <c r="C10" s="72" t="s">
        <v>51</v>
      </c>
      <c r="D10" s="170">
        <v>1</v>
      </c>
      <c r="E10" s="170"/>
      <c r="F10" s="73">
        <v>603631</v>
      </c>
      <c r="G10" s="73"/>
      <c r="H10" s="74" t="s">
        <v>44</v>
      </c>
      <c r="I10" s="74" t="s">
        <v>13</v>
      </c>
      <c r="J10" s="74">
        <v>2026</v>
      </c>
      <c r="K10" s="9" t="s">
        <v>14</v>
      </c>
      <c r="L10" s="9"/>
      <c r="M10" s="78"/>
    </row>
    <row r="11" spans="1:13" s="165" customFormat="1" ht="21" customHeight="1" x14ac:dyDescent="0.2">
      <c r="A11" s="19">
        <v>7</v>
      </c>
      <c r="B11" s="138" t="s">
        <v>58</v>
      </c>
      <c r="C11" s="138" t="s">
        <v>59</v>
      </c>
      <c r="D11" s="190">
        <v>4</v>
      </c>
      <c r="E11" s="171">
        <v>2797</v>
      </c>
      <c r="F11" s="139">
        <v>316805000</v>
      </c>
      <c r="G11" s="139"/>
      <c r="H11" s="144" t="s">
        <v>60</v>
      </c>
      <c r="I11" s="141" t="s">
        <v>475</v>
      </c>
      <c r="J11" s="141">
        <v>2026</v>
      </c>
      <c r="K11" s="138" t="s">
        <v>14</v>
      </c>
      <c r="L11" s="141"/>
      <c r="M11" s="164"/>
    </row>
    <row r="12" spans="1:13" s="165" customFormat="1" ht="29.25" customHeight="1" x14ac:dyDescent="0.2">
      <c r="A12" s="88">
        <v>8</v>
      </c>
      <c r="B12" s="138" t="s">
        <v>61</v>
      </c>
      <c r="C12" s="138" t="s">
        <v>62</v>
      </c>
      <c r="D12" s="191">
        <v>1</v>
      </c>
      <c r="E12" s="172">
        <v>293</v>
      </c>
      <c r="F12" s="158">
        <v>243453000</v>
      </c>
      <c r="G12" s="159"/>
      <c r="H12" s="143" t="s">
        <v>63</v>
      </c>
      <c r="I12" s="141" t="s">
        <v>476</v>
      </c>
      <c r="J12" s="141">
        <v>2026</v>
      </c>
      <c r="K12" s="138" t="s">
        <v>14</v>
      </c>
      <c r="L12" s="141"/>
      <c r="M12" s="164"/>
    </row>
    <row r="13" spans="1:13" s="110" customFormat="1" x14ac:dyDescent="0.25">
      <c r="A13" s="19">
        <v>9</v>
      </c>
      <c r="B13" s="104" t="s">
        <v>401</v>
      </c>
      <c r="C13" s="108" t="s">
        <v>408</v>
      </c>
      <c r="D13" s="169">
        <v>5</v>
      </c>
      <c r="E13" s="173">
        <v>2277</v>
      </c>
      <c r="F13" s="106">
        <v>621631500</v>
      </c>
      <c r="G13" s="106"/>
      <c r="H13" s="107" t="s">
        <v>18</v>
      </c>
      <c r="I13" s="107" t="s">
        <v>94</v>
      </c>
      <c r="J13" s="107">
        <v>2026</v>
      </c>
      <c r="K13" s="107" t="s">
        <v>14</v>
      </c>
      <c r="L13" s="107"/>
      <c r="M13" s="116"/>
    </row>
    <row r="14" spans="1:13" s="69" customFormat="1" x14ac:dyDescent="0.25">
      <c r="A14" s="88">
        <v>10</v>
      </c>
      <c r="B14" s="76" t="s">
        <v>52</v>
      </c>
      <c r="C14" s="72" t="s">
        <v>66</v>
      </c>
      <c r="D14" s="170">
        <v>3</v>
      </c>
      <c r="E14" s="170">
        <v>1236</v>
      </c>
      <c r="F14" s="73">
        <v>843422000</v>
      </c>
      <c r="G14" s="73"/>
      <c r="H14" s="74" t="s">
        <v>247</v>
      </c>
      <c r="I14" s="74" t="s">
        <v>13</v>
      </c>
      <c r="J14" s="74">
        <v>2026</v>
      </c>
      <c r="K14" s="9" t="s">
        <v>14</v>
      </c>
      <c r="L14" s="9"/>
      <c r="M14" s="78"/>
    </row>
    <row r="15" spans="1:13" s="69" customFormat="1" ht="24" x14ac:dyDescent="0.25">
      <c r="A15" s="19">
        <v>11</v>
      </c>
      <c r="B15" s="76" t="s">
        <v>53</v>
      </c>
      <c r="C15" s="72" t="s">
        <v>67</v>
      </c>
      <c r="D15" s="170">
        <v>2</v>
      </c>
      <c r="E15" s="170"/>
      <c r="F15" s="130">
        <v>91935600</v>
      </c>
      <c r="G15" s="73"/>
      <c r="H15" s="74" t="s">
        <v>54</v>
      </c>
      <c r="I15" s="74" t="s">
        <v>13</v>
      </c>
      <c r="J15" s="74">
        <v>2026</v>
      </c>
      <c r="K15" s="9" t="s">
        <v>14</v>
      </c>
      <c r="L15" s="9"/>
      <c r="M15" s="78"/>
    </row>
    <row r="16" spans="1:13" s="69" customFormat="1" x14ac:dyDescent="0.25">
      <c r="A16" s="88">
        <v>12</v>
      </c>
      <c r="B16" s="76" t="s">
        <v>55</v>
      </c>
      <c r="C16" s="72" t="s">
        <v>68</v>
      </c>
      <c r="D16" s="170">
        <v>1</v>
      </c>
      <c r="E16" s="170">
        <v>449</v>
      </c>
      <c r="F16" s="73">
        <v>147060000</v>
      </c>
      <c r="G16" s="73"/>
      <c r="H16" s="74" t="s">
        <v>255</v>
      </c>
      <c r="I16" s="74" t="s">
        <v>13</v>
      </c>
      <c r="J16" s="74">
        <v>2026</v>
      </c>
      <c r="K16" s="9" t="s">
        <v>14</v>
      </c>
      <c r="L16" s="9"/>
      <c r="M16" s="78"/>
    </row>
    <row r="17" spans="1:13" s="165" customFormat="1" ht="21" customHeight="1" x14ac:dyDescent="0.2">
      <c r="A17" s="19">
        <v>13</v>
      </c>
      <c r="B17" s="138" t="s">
        <v>64</v>
      </c>
      <c r="C17" s="138" t="s">
        <v>73</v>
      </c>
      <c r="D17" s="191">
        <v>14</v>
      </c>
      <c r="E17" s="172">
        <v>6120</v>
      </c>
      <c r="F17" s="158">
        <v>3562269000</v>
      </c>
      <c r="G17" s="159"/>
      <c r="H17" s="143" t="s">
        <v>65</v>
      </c>
      <c r="I17" s="141" t="s">
        <v>39</v>
      </c>
      <c r="J17" s="141">
        <v>2026</v>
      </c>
      <c r="K17" s="138" t="s">
        <v>14</v>
      </c>
      <c r="L17" s="141"/>
      <c r="M17" s="164"/>
    </row>
    <row r="18" spans="1:13" s="165" customFormat="1" ht="21" customHeight="1" x14ac:dyDescent="0.2">
      <c r="A18" s="88">
        <v>14</v>
      </c>
      <c r="B18" s="138" t="s">
        <v>74</v>
      </c>
      <c r="C18" s="138" t="s">
        <v>75</v>
      </c>
      <c r="D18" s="191">
        <v>7</v>
      </c>
      <c r="E18" s="172">
        <v>3347</v>
      </c>
      <c r="F18" s="158">
        <v>1804136000</v>
      </c>
      <c r="G18" s="159"/>
      <c r="H18" s="143" t="s">
        <v>65</v>
      </c>
      <c r="I18" s="141" t="s">
        <v>39</v>
      </c>
      <c r="J18" s="141">
        <v>2026</v>
      </c>
      <c r="K18" s="138" t="s">
        <v>14</v>
      </c>
      <c r="L18" s="141"/>
      <c r="M18" s="164"/>
    </row>
    <row r="19" spans="1:13" s="69" customFormat="1" ht="24" x14ac:dyDescent="0.25">
      <c r="A19" s="19">
        <v>15</v>
      </c>
      <c r="B19" s="76" t="s">
        <v>69</v>
      </c>
      <c r="C19" s="72" t="s">
        <v>83</v>
      </c>
      <c r="D19" s="170">
        <v>1</v>
      </c>
      <c r="E19" s="170">
        <v>3481</v>
      </c>
      <c r="F19" s="73">
        <v>1966733000</v>
      </c>
      <c r="G19" s="73"/>
      <c r="H19" s="74" t="s">
        <v>70</v>
      </c>
      <c r="I19" s="74" t="s">
        <v>37</v>
      </c>
      <c r="J19" s="74">
        <v>2026</v>
      </c>
      <c r="K19" s="9" t="s">
        <v>14</v>
      </c>
      <c r="L19" s="9"/>
      <c r="M19" s="78"/>
    </row>
    <row r="20" spans="1:13" s="110" customFormat="1" ht="24" x14ac:dyDescent="0.25">
      <c r="A20" s="88">
        <v>16</v>
      </c>
      <c r="B20" s="104">
        <v>1</v>
      </c>
      <c r="C20" s="105" t="s">
        <v>89</v>
      </c>
      <c r="D20" s="169">
        <v>12</v>
      </c>
      <c r="E20" s="173">
        <v>5459.09</v>
      </c>
      <c r="F20" s="106">
        <v>2530238000</v>
      </c>
      <c r="G20" s="106"/>
      <c r="H20" s="107" t="s">
        <v>40</v>
      </c>
      <c r="I20" s="107" t="s">
        <v>409</v>
      </c>
      <c r="J20" s="107">
        <v>2026</v>
      </c>
      <c r="K20" s="107" t="s">
        <v>14</v>
      </c>
      <c r="L20" s="107"/>
      <c r="M20" s="116"/>
    </row>
    <row r="21" spans="1:13" s="110" customFormat="1" ht="24" x14ac:dyDescent="0.25">
      <c r="A21" s="19">
        <v>17</v>
      </c>
      <c r="B21" s="104">
        <v>2</v>
      </c>
      <c r="C21" s="105" t="s">
        <v>90</v>
      </c>
      <c r="D21" s="169">
        <v>1</v>
      </c>
      <c r="E21" s="173">
        <v>349</v>
      </c>
      <c r="F21" s="106">
        <v>527795000</v>
      </c>
      <c r="G21" s="106"/>
      <c r="H21" s="107" t="s">
        <v>49</v>
      </c>
      <c r="I21" s="107" t="s">
        <v>409</v>
      </c>
      <c r="J21" s="107">
        <v>2026</v>
      </c>
      <c r="K21" s="107" t="s">
        <v>440</v>
      </c>
      <c r="L21" s="107"/>
      <c r="M21" s="116"/>
    </row>
    <row r="22" spans="1:13" s="114" customFormat="1" x14ac:dyDescent="0.25">
      <c r="A22" s="88">
        <v>18</v>
      </c>
      <c r="B22" s="111" t="s">
        <v>402</v>
      </c>
      <c r="C22" s="105" t="s">
        <v>91</v>
      </c>
      <c r="D22" s="169">
        <v>3</v>
      </c>
      <c r="E22" s="106">
        <v>2100</v>
      </c>
      <c r="F22" s="112">
        <v>74368200</v>
      </c>
      <c r="G22" s="113"/>
      <c r="H22" s="107" t="s">
        <v>18</v>
      </c>
      <c r="I22" s="107" t="s">
        <v>94</v>
      </c>
      <c r="J22" s="107">
        <v>2026</v>
      </c>
      <c r="K22" s="107" t="s">
        <v>14</v>
      </c>
      <c r="L22" s="107"/>
      <c r="M22" s="108"/>
    </row>
    <row r="23" spans="1:13" s="114" customFormat="1" ht="26.25" customHeight="1" x14ac:dyDescent="0.25">
      <c r="A23" s="19">
        <v>19</v>
      </c>
      <c r="B23" s="111">
        <v>3</v>
      </c>
      <c r="C23" s="105" t="s">
        <v>92</v>
      </c>
      <c r="D23" s="169">
        <v>5</v>
      </c>
      <c r="E23" s="106">
        <v>1849.14</v>
      </c>
      <c r="F23" s="112">
        <v>3958424800</v>
      </c>
      <c r="G23" s="113"/>
      <c r="H23" s="115" t="s">
        <v>410</v>
      </c>
      <c r="I23" s="107" t="s">
        <v>409</v>
      </c>
      <c r="J23" s="107">
        <v>2026</v>
      </c>
      <c r="K23" s="107" t="s">
        <v>440</v>
      </c>
      <c r="L23" s="107"/>
      <c r="M23" s="108"/>
    </row>
    <row r="24" spans="1:13" s="114" customFormat="1" ht="20.25" customHeight="1" x14ac:dyDescent="0.25">
      <c r="A24" s="88">
        <v>20</v>
      </c>
      <c r="B24" s="111">
        <v>4</v>
      </c>
      <c r="C24" s="105" t="s">
        <v>93</v>
      </c>
      <c r="D24" s="169">
        <v>3</v>
      </c>
      <c r="E24" s="106">
        <v>1399</v>
      </c>
      <c r="F24" s="112">
        <v>415058600</v>
      </c>
      <c r="G24" s="113"/>
      <c r="H24" s="115" t="s">
        <v>411</v>
      </c>
      <c r="I24" s="107" t="s">
        <v>409</v>
      </c>
      <c r="J24" s="107">
        <v>2026</v>
      </c>
      <c r="K24" s="107" t="s">
        <v>444</v>
      </c>
      <c r="L24" s="107"/>
      <c r="M24" s="108"/>
    </row>
    <row r="25" spans="1:13" s="165" customFormat="1" ht="21" customHeight="1" x14ac:dyDescent="0.2">
      <c r="A25" s="19">
        <v>21</v>
      </c>
      <c r="B25" s="138" t="s">
        <v>76</v>
      </c>
      <c r="C25" s="138" t="s">
        <v>96</v>
      </c>
      <c r="D25" s="191">
        <v>5</v>
      </c>
      <c r="E25" s="172">
        <v>1735</v>
      </c>
      <c r="F25" s="158">
        <v>952790000</v>
      </c>
      <c r="G25" s="159"/>
      <c r="H25" s="143" t="s">
        <v>65</v>
      </c>
      <c r="I25" s="141" t="s">
        <v>39</v>
      </c>
      <c r="J25" s="141">
        <v>2026</v>
      </c>
      <c r="K25" s="138" t="s">
        <v>14</v>
      </c>
      <c r="L25" s="141"/>
      <c r="M25" s="164"/>
    </row>
    <row r="26" spans="1:13" s="165" customFormat="1" ht="21" customHeight="1" x14ac:dyDescent="0.2">
      <c r="A26" s="88">
        <v>22</v>
      </c>
      <c r="B26" s="138" t="s">
        <v>81</v>
      </c>
      <c r="C26" s="138" t="s">
        <v>97</v>
      </c>
      <c r="D26" s="190">
        <v>3</v>
      </c>
      <c r="E26" s="171">
        <v>2097</v>
      </c>
      <c r="F26" s="139">
        <v>45180000</v>
      </c>
      <c r="G26" s="139"/>
      <c r="H26" s="144" t="s">
        <v>60</v>
      </c>
      <c r="I26" s="141" t="s">
        <v>475</v>
      </c>
      <c r="J26" s="141">
        <v>2026</v>
      </c>
      <c r="K26" s="138" t="s">
        <v>14</v>
      </c>
      <c r="L26" s="141"/>
      <c r="M26" s="164"/>
    </row>
    <row r="27" spans="1:13" s="69" customFormat="1" ht="24" x14ac:dyDescent="0.25">
      <c r="A27" s="19">
        <v>23</v>
      </c>
      <c r="B27" s="76" t="s">
        <v>86</v>
      </c>
      <c r="C27" s="72" t="s">
        <v>105</v>
      </c>
      <c r="D27" s="170">
        <v>3</v>
      </c>
      <c r="E27" s="170" t="s">
        <v>36</v>
      </c>
      <c r="F27" s="73">
        <v>496177400</v>
      </c>
      <c r="G27" s="73"/>
      <c r="H27" s="74" t="s">
        <v>87</v>
      </c>
      <c r="I27" s="74" t="s">
        <v>37</v>
      </c>
      <c r="J27" s="74">
        <v>2026</v>
      </c>
      <c r="K27" s="9" t="s">
        <v>14</v>
      </c>
      <c r="L27" s="9"/>
      <c r="M27" s="78"/>
    </row>
    <row r="28" spans="1:13" s="165" customFormat="1" ht="21" customHeight="1" x14ac:dyDescent="0.2">
      <c r="A28" s="88">
        <v>24</v>
      </c>
      <c r="B28" s="138" t="s">
        <v>82</v>
      </c>
      <c r="C28" s="138" t="s">
        <v>116</v>
      </c>
      <c r="D28" s="190">
        <v>3</v>
      </c>
      <c r="E28" s="171">
        <v>2100</v>
      </c>
      <c r="F28" s="139">
        <v>2694947000</v>
      </c>
      <c r="G28" s="139"/>
      <c r="H28" s="144" t="s">
        <v>88</v>
      </c>
      <c r="I28" s="141" t="s">
        <v>39</v>
      </c>
      <c r="J28" s="141">
        <v>2026</v>
      </c>
      <c r="K28" s="138" t="s">
        <v>14</v>
      </c>
      <c r="L28" s="141"/>
      <c r="M28" s="164"/>
    </row>
    <row r="29" spans="1:13" s="165" customFormat="1" ht="21" customHeight="1" x14ac:dyDescent="0.2">
      <c r="A29" s="19">
        <v>25</v>
      </c>
      <c r="B29" s="138" t="s">
        <v>98</v>
      </c>
      <c r="C29" s="138" t="s">
        <v>117</v>
      </c>
      <c r="D29" s="190">
        <v>9</v>
      </c>
      <c r="E29" s="171">
        <v>6095</v>
      </c>
      <c r="F29" s="139">
        <v>553660000</v>
      </c>
      <c r="G29" s="139"/>
      <c r="H29" s="144" t="s">
        <v>60</v>
      </c>
      <c r="I29" s="141" t="s">
        <v>475</v>
      </c>
      <c r="J29" s="141">
        <v>2026</v>
      </c>
      <c r="K29" s="138" t="s">
        <v>14</v>
      </c>
      <c r="L29" s="141"/>
      <c r="M29" s="164"/>
    </row>
    <row r="30" spans="1:13" s="165" customFormat="1" ht="21" customHeight="1" x14ac:dyDescent="0.2">
      <c r="A30" s="88">
        <v>26</v>
      </c>
      <c r="B30" s="138" t="s">
        <v>100</v>
      </c>
      <c r="C30" s="138" t="s">
        <v>118</v>
      </c>
      <c r="D30" s="190">
        <v>3</v>
      </c>
      <c r="E30" s="171">
        <v>1473.94</v>
      </c>
      <c r="F30" s="139">
        <v>430737000</v>
      </c>
      <c r="G30" s="139"/>
      <c r="H30" s="144" t="s">
        <v>101</v>
      </c>
      <c r="I30" s="141" t="s">
        <v>39</v>
      </c>
      <c r="J30" s="141">
        <v>2026</v>
      </c>
      <c r="K30" s="138" t="s">
        <v>14</v>
      </c>
      <c r="L30" s="141"/>
      <c r="M30" s="164"/>
    </row>
    <row r="31" spans="1:13" s="165" customFormat="1" ht="21" customHeight="1" x14ac:dyDescent="0.2">
      <c r="A31" s="19">
        <v>27</v>
      </c>
      <c r="B31" s="138" t="s">
        <v>102</v>
      </c>
      <c r="C31" s="138" t="s">
        <v>134</v>
      </c>
      <c r="D31" s="190">
        <v>1</v>
      </c>
      <c r="E31" s="171">
        <v>430</v>
      </c>
      <c r="F31" s="139">
        <v>1337911494</v>
      </c>
      <c r="G31" s="139"/>
      <c r="H31" s="143" t="s">
        <v>63</v>
      </c>
      <c r="I31" s="141" t="s">
        <v>476</v>
      </c>
      <c r="J31" s="141">
        <v>2026</v>
      </c>
      <c r="K31" s="138" t="s">
        <v>14</v>
      </c>
      <c r="L31" s="141"/>
      <c r="M31" s="164"/>
    </row>
    <row r="32" spans="1:13" s="165" customFormat="1" ht="21" customHeight="1" x14ac:dyDescent="0.2">
      <c r="A32" s="88">
        <v>28</v>
      </c>
      <c r="B32" s="138" t="s">
        <v>103</v>
      </c>
      <c r="C32" s="138" t="s">
        <v>135</v>
      </c>
      <c r="D32" s="190">
        <v>10</v>
      </c>
      <c r="E32" s="171">
        <v>4373</v>
      </c>
      <c r="F32" s="139">
        <v>2213013000</v>
      </c>
      <c r="G32" s="139"/>
      <c r="H32" s="144" t="s">
        <v>104</v>
      </c>
      <c r="I32" s="141" t="s">
        <v>39</v>
      </c>
      <c r="J32" s="141">
        <v>2026</v>
      </c>
      <c r="K32" s="138" t="s">
        <v>14</v>
      </c>
      <c r="L32" s="141"/>
      <c r="M32" s="164"/>
    </row>
    <row r="33" spans="1:13" s="165" customFormat="1" ht="21" customHeight="1" x14ac:dyDescent="0.2">
      <c r="A33" s="19">
        <v>29</v>
      </c>
      <c r="B33" s="138" t="s">
        <v>119</v>
      </c>
      <c r="C33" s="138" t="s">
        <v>136</v>
      </c>
      <c r="D33" s="190">
        <v>1</v>
      </c>
      <c r="E33" s="171">
        <v>500</v>
      </c>
      <c r="F33" s="139">
        <v>49035000</v>
      </c>
      <c r="G33" s="139"/>
      <c r="H33" s="144" t="s">
        <v>60</v>
      </c>
      <c r="I33" s="141" t="s">
        <v>475</v>
      </c>
      <c r="J33" s="141">
        <v>2026</v>
      </c>
      <c r="K33" s="138" t="s">
        <v>14</v>
      </c>
      <c r="L33" s="141"/>
      <c r="M33" s="164"/>
    </row>
    <row r="34" spans="1:13" s="69" customFormat="1" ht="24" x14ac:dyDescent="0.25">
      <c r="A34" s="88">
        <v>30</v>
      </c>
      <c r="B34" s="76" t="s">
        <v>56</v>
      </c>
      <c r="C34" s="72" t="s">
        <v>124</v>
      </c>
      <c r="D34" s="170">
        <v>1</v>
      </c>
      <c r="E34" s="170">
        <v>598</v>
      </c>
      <c r="F34" s="73">
        <v>242858000</v>
      </c>
      <c r="G34" s="73"/>
      <c r="H34" s="74" t="s">
        <v>57</v>
      </c>
      <c r="I34" s="74" t="s">
        <v>37</v>
      </c>
      <c r="J34" s="74">
        <v>2026</v>
      </c>
      <c r="K34" s="9" t="s">
        <v>14</v>
      </c>
      <c r="L34" s="9"/>
      <c r="M34" s="78"/>
    </row>
    <row r="35" spans="1:13" s="69" customFormat="1" ht="24" x14ac:dyDescent="0.25">
      <c r="A35" s="19">
        <v>31</v>
      </c>
      <c r="B35" s="76" t="s">
        <v>71</v>
      </c>
      <c r="C35" s="72" t="s">
        <v>125</v>
      </c>
      <c r="D35" s="170">
        <v>4</v>
      </c>
      <c r="E35" s="170">
        <v>976.12</v>
      </c>
      <c r="F35" s="73"/>
      <c r="G35" s="73">
        <v>319384000</v>
      </c>
      <c r="H35" s="74" t="s">
        <v>72</v>
      </c>
      <c r="I35" s="74" t="s">
        <v>13</v>
      </c>
      <c r="J35" s="74">
        <v>2026</v>
      </c>
      <c r="K35" s="9" t="s">
        <v>38</v>
      </c>
      <c r="L35" s="9"/>
      <c r="M35" s="78"/>
    </row>
    <row r="36" spans="1:13" s="69" customFormat="1" ht="36" x14ac:dyDescent="0.25">
      <c r="A36" s="88">
        <v>32</v>
      </c>
      <c r="B36" s="76" t="s">
        <v>84</v>
      </c>
      <c r="C36" s="72" t="s">
        <v>126</v>
      </c>
      <c r="D36" s="170">
        <v>1</v>
      </c>
      <c r="E36" s="170">
        <v>151</v>
      </c>
      <c r="F36" s="73">
        <v>36349000</v>
      </c>
      <c r="G36" s="73"/>
      <c r="H36" s="74" t="s">
        <v>85</v>
      </c>
      <c r="I36" s="74" t="s">
        <v>13</v>
      </c>
      <c r="J36" s="74">
        <v>2026</v>
      </c>
      <c r="K36" s="9" t="s">
        <v>14</v>
      </c>
      <c r="L36" s="9"/>
      <c r="M36" s="78"/>
    </row>
    <row r="37" spans="1:13" s="69" customFormat="1" ht="24" x14ac:dyDescent="0.25">
      <c r="A37" s="19">
        <v>33</v>
      </c>
      <c r="B37" s="76" t="s">
        <v>108</v>
      </c>
      <c r="C37" s="78" t="s">
        <v>128</v>
      </c>
      <c r="D37" s="170">
        <v>1</v>
      </c>
      <c r="E37" s="170">
        <v>1080</v>
      </c>
      <c r="F37" s="73">
        <v>1019414000</v>
      </c>
      <c r="G37" s="73"/>
      <c r="H37" s="74" t="s">
        <v>70</v>
      </c>
      <c r="I37" s="74" t="s">
        <v>37</v>
      </c>
      <c r="J37" s="74">
        <v>2026</v>
      </c>
      <c r="K37" s="9" t="s">
        <v>14</v>
      </c>
      <c r="L37" s="9"/>
      <c r="M37" s="78"/>
    </row>
    <row r="38" spans="1:13" s="69" customFormat="1" ht="24" x14ac:dyDescent="0.25">
      <c r="A38" s="88">
        <v>34</v>
      </c>
      <c r="B38" s="76" t="s">
        <v>110</v>
      </c>
      <c r="C38" s="78" t="s">
        <v>129</v>
      </c>
      <c r="D38" s="170">
        <v>1</v>
      </c>
      <c r="E38" s="170">
        <v>47</v>
      </c>
      <c r="F38" s="73">
        <v>20606000</v>
      </c>
      <c r="G38" s="73"/>
      <c r="H38" s="74" t="s">
        <v>111</v>
      </c>
      <c r="I38" s="74" t="s">
        <v>13</v>
      </c>
      <c r="J38" s="74">
        <v>2026</v>
      </c>
      <c r="K38" s="9" t="s">
        <v>14</v>
      </c>
      <c r="L38" s="9"/>
      <c r="M38" s="78"/>
    </row>
    <row r="39" spans="1:13" s="69" customFormat="1" ht="24" x14ac:dyDescent="0.25">
      <c r="A39" s="19">
        <v>35</v>
      </c>
      <c r="B39" s="76" t="s">
        <v>112</v>
      </c>
      <c r="C39" s="78" t="s">
        <v>130</v>
      </c>
      <c r="D39" s="170">
        <v>3</v>
      </c>
      <c r="E39" s="170">
        <v>5212</v>
      </c>
      <c r="F39" s="73">
        <v>1869550000</v>
      </c>
      <c r="G39" s="73"/>
      <c r="H39" s="74" t="s">
        <v>70</v>
      </c>
      <c r="I39" s="74" t="s">
        <v>37</v>
      </c>
      <c r="J39" s="74">
        <v>2026</v>
      </c>
      <c r="K39" s="9" t="s">
        <v>14</v>
      </c>
      <c r="L39" s="9"/>
      <c r="M39" s="78"/>
    </row>
    <row r="40" spans="1:13" s="69" customFormat="1" ht="24" x14ac:dyDescent="0.25">
      <c r="A40" s="88">
        <v>36</v>
      </c>
      <c r="B40" s="76" t="s">
        <v>114</v>
      </c>
      <c r="C40" s="78" t="s">
        <v>131</v>
      </c>
      <c r="D40" s="170">
        <v>1</v>
      </c>
      <c r="E40" s="170">
        <v>597</v>
      </c>
      <c r="F40" s="73">
        <v>310285000</v>
      </c>
      <c r="G40" s="73"/>
      <c r="H40" s="74" t="s">
        <v>57</v>
      </c>
      <c r="I40" s="74" t="s">
        <v>37</v>
      </c>
      <c r="J40" s="74">
        <v>2026</v>
      </c>
      <c r="K40" s="9" t="s">
        <v>14</v>
      </c>
      <c r="L40" s="9"/>
      <c r="M40" s="78"/>
    </row>
    <row r="41" spans="1:13" s="69" customFormat="1" ht="24" x14ac:dyDescent="0.25">
      <c r="A41" s="19">
        <v>37</v>
      </c>
      <c r="B41" s="76" t="s">
        <v>121</v>
      </c>
      <c r="C41" s="78" t="s">
        <v>132</v>
      </c>
      <c r="D41" s="170">
        <v>1</v>
      </c>
      <c r="E41" s="170">
        <v>4437</v>
      </c>
      <c r="F41" s="73">
        <v>2825432600</v>
      </c>
      <c r="G41" s="73"/>
      <c r="H41" s="74" t="s">
        <v>122</v>
      </c>
      <c r="I41" s="74" t="s">
        <v>13</v>
      </c>
      <c r="J41" s="74">
        <v>2026</v>
      </c>
      <c r="K41" s="9" t="s">
        <v>14</v>
      </c>
      <c r="L41" s="9"/>
      <c r="M41" s="78"/>
    </row>
    <row r="42" spans="1:13" s="114" customFormat="1" ht="11.25" customHeight="1" x14ac:dyDescent="0.25">
      <c r="A42" s="88">
        <v>38</v>
      </c>
      <c r="B42" s="111">
        <v>7</v>
      </c>
      <c r="C42" s="116" t="s">
        <v>139</v>
      </c>
      <c r="D42" s="175">
        <v>1</v>
      </c>
      <c r="E42" s="174">
        <v>100000</v>
      </c>
      <c r="F42" s="117">
        <v>3500000000</v>
      </c>
      <c r="G42" s="117"/>
      <c r="H42" s="126" t="s">
        <v>412</v>
      </c>
      <c r="I42" s="118" t="s">
        <v>35</v>
      </c>
      <c r="J42" s="107">
        <v>2026</v>
      </c>
      <c r="K42" s="107" t="s">
        <v>413</v>
      </c>
      <c r="L42" s="107"/>
      <c r="M42" s="108"/>
    </row>
    <row r="43" spans="1:13" s="69" customFormat="1" ht="20.25" customHeight="1" x14ac:dyDescent="0.25">
      <c r="A43" s="19">
        <v>39</v>
      </c>
      <c r="B43" s="76" t="s">
        <v>106</v>
      </c>
      <c r="C43" s="78" t="s">
        <v>142</v>
      </c>
      <c r="D43" s="170">
        <v>1</v>
      </c>
      <c r="E43" s="170">
        <v>160</v>
      </c>
      <c r="F43" s="73">
        <v>14427000</v>
      </c>
      <c r="G43" s="73"/>
      <c r="H43" s="74" t="s">
        <v>107</v>
      </c>
      <c r="I43" s="74" t="s">
        <v>13</v>
      </c>
      <c r="J43" s="74">
        <v>2026</v>
      </c>
      <c r="K43" s="9" t="s">
        <v>14</v>
      </c>
      <c r="L43" s="9"/>
      <c r="M43" s="78"/>
    </row>
    <row r="44" spans="1:13" s="165" customFormat="1" ht="21" customHeight="1" x14ac:dyDescent="0.2">
      <c r="A44" s="88">
        <v>40</v>
      </c>
      <c r="B44" s="138" t="s">
        <v>120</v>
      </c>
      <c r="C44" s="138" t="s">
        <v>477</v>
      </c>
      <c r="D44" s="190">
        <v>7</v>
      </c>
      <c r="E44" s="171">
        <v>3277</v>
      </c>
      <c r="F44" s="139">
        <v>1637919000</v>
      </c>
      <c r="G44" s="139"/>
      <c r="H44" s="144" t="s">
        <v>104</v>
      </c>
      <c r="I44" s="141" t="s">
        <v>39</v>
      </c>
      <c r="J44" s="141">
        <v>2026</v>
      </c>
      <c r="K44" s="138" t="s">
        <v>14</v>
      </c>
      <c r="L44" s="141"/>
      <c r="M44" s="164"/>
    </row>
    <row r="45" spans="1:13" s="165" customFormat="1" ht="21" customHeight="1" x14ac:dyDescent="0.2">
      <c r="A45" s="19">
        <v>41</v>
      </c>
      <c r="B45" s="138" t="s">
        <v>137</v>
      </c>
      <c r="C45" s="138" t="s">
        <v>478</v>
      </c>
      <c r="D45" s="190">
        <v>2</v>
      </c>
      <c r="E45" s="171">
        <v>789</v>
      </c>
      <c r="F45" s="139">
        <v>658768000</v>
      </c>
      <c r="G45" s="139"/>
      <c r="H45" s="144" t="s">
        <v>138</v>
      </c>
      <c r="I45" s="141" t="s">
        <v>99</v>
      </c>
      <c r="J45" s="141">
        <v>2026</v>
      </c>
      <c r="K45" s="138" t="s">
        <v>14</v>
      </c>
      <c r="L45" s="141"/>
      <c r="M45" s="164"/>
    </row>
    <row r="46" spans="1:13" s="114" customFormat="1" ht="24" x14ac:dyDescent="0.25">
      <c r="A46" s="88">
        <v>42</v>
      </c>
      <c r="B46" s="111">
        <v>6</v>
      </c>
      <c r="C46" s="108" t="s">
        <v>162</v>
      </c>
      <c r="D46" s="175">
        <v>1</v>
      </c>
      <c r="E46" s="174">
        <v>474.45</v>
      </c>
      <c r="F46" s="117">
        <v>386972146</v>
      </c>
      <c r="G46" s="117"/>
      <c r="H46" s="126" t="s">
        <v>164</v>
      </c>
      <c r="I46" s="118" t="s">
        <v>409</v>
      </c>
      <c r="J46" s="107">
        <v>2026</v>
      </c>
      <c r="K46" s="107" t="s">
        <v>440</v>
      </c>
      <c r="L46" s="107"/>
      <c r="M46" s="108"/>
    </row>
    <row r="47" spans="1:13" s="114" customFormat="1" ht="36" x14ac:dyDescent="0.25">
      <c r="A47" s="19">
        <v>43</v>
      </c>
      <c r="B47" s="111">
        <v>8</v>
      </c>
      <c r="C47" s="108" t="s">
        <v>163</v>
      </c>
      <c r="D47" s="175">
        <v>1</v>
      </c>
      <c r="E47" s="174">
        <v>406</v>
      </c>
      <c r="F47" s="117">
        <v>157911000</v>
      </c>
      <c r="G47" s="117"/>
      <c r="H47" s="126" t="s">
        <v>127</v>
      </c>
      <c r="I47" s="118" t="s">
        <v>409</v>
      </c>
      <c r="J47" s="107">
        <v>2026</v>
      </c>
      <c r="K47" s="107" t="s">
        <v>438</v>
      </c>
      <c r="L47" s="107"/>
      <c r="M47" s="108"/>
    </row>
    <row r="48" spans="1:13" s="114" customFormat="1" ht="24" x14ac:dyDescent="0.25">
      <c r="A48" s="88">
        <v>44</v>
      </c>
      <c r="B48" s="111">
        <v>11</v>
      </c>
      <c r="C48" s="108" t="s">
        <v>432</v>
      </c>
      <c r="D48" s="175">
        <v>1</v>
      </c>
      <c r="E48" s="174">
        <v>394</v>
      </c>
      <c r="F48" s="117">
        <v>76254873</v>
      </c>
      <c r="G48" s="117"/>
      <c r="H48" s="107" t="s">
        <v>141</v>
      </c>
      <c r="I48" s="107" t="s">
        <v>409</v>
      </c>
      <c r="J48" s="107">
        <v>2026</v>
      </c>
      <c r="K48" s="107" t="s">
        <v>442</v>
      </c>
      <c r="L48" s="107"/>
      <c r="M48" s="108"/>
    </row>
    <row r="49" spans="1:13" s="114" customFormat="1" ht="12" customHeight="1" x14ac:dyDescent="0.25">
      <c r="A49" s="19">
        <v>45</v>
      </c>
      <c r="B49" s="111" t="s">
        <v>415</v>
      </c>
      <c r="C49" s="108" t="s">
        <v>433</v>
      </c>
      <c r="D49" s="175"/>
      <c r="E49" s="174"/>
      <c r="F49" s="117">
        <v>11712000</v>
      </c>
      <c r="G49" s="117"/>
      <c r="H49" s="118" t="s">
        <v>416</v>
      </c>
      <c r="I49" s="107" t="s">
        <v>95</v>
      </c>
      <c r="J49" s="107">
        <v>2026</v>
      </c>
      <c r="K49" s="107" t="s">
        <v>14</v>
      </c>
      <c r="L49" s="107"/>
      <c r="M49" s="108"/>
    </row>
    <row r="50" spans="1:13" s="69" customFormat="1" ht="24" x14ac:dyDescent="0.25">
      <c r="A50" s="88">
        <v>46</v>
      </c>
      <c r="B50" s="76" t="s">
        <v>115</v>
      </c>
      <c r="C50" s="78" t="s">
        <v>152</v>
      </c>
      <c r="D50" s="170">
        <v>5</v>
      </c>
      <c r="E50" s="170">
        <v>735.8</v>
      </c>
      <c r="F50" s="73">
        <v>197996500</v>
      </c>
      <c r="G50" s="73"/>
      <c r="H50" s="74" t="s">
        <v>87</v>
      </c>
      <c r="I50" s="74" t="s">
        <v>37</v>
      </c>
      <c r="J50" s="74">
        <v>2026</v>
      </c>
      <c r="K50" s="9" t="s">
        <v>14</v>
      </c>
      <c r="L50" s="9"/>
      <c r="M50" s="78"/>
    </row>
    <row r="51" spans="1:13" s="69" customFormat="1" ht="24" x14ac:dyDescent="0.25">
      <c r="A51" s="19">
        <v>47</v>
      </c>
      <c r="B51" s="76" t="s">
        <v>109</v>
      </c>
      <c r="C51" s="78" t="s">
        <v>153</v>
      </c>
      <c r="D51" s="170">
        <v>1</v>
      </c>
      <c r="E51" s="170"/>
      <c r="F51" s="73">
        <v>52405000</v>
      </c>
      <c r="G51" s="73"/>
      <c r="H51" s="74" t="s">
        <v>87</v>
      </c>
      <c r="I51" s="74" t="s">
        <v>37</v>
      </c>
      <c r="J51" s="74">
        <v>2026</v>
      </c>
      <c r="K51" s="9" t="s">
        <v>14</v>
      </c>
      <c r="L51" s="9"/>
      <c r="M51" s="78"/>
    </row>
    <row r="52" spans="1:13" s="69" customFormat="1" ht="24" x14ac:dyDescent="0.25">
      <c r="A52" s="88">
        <v>48</v>
      </c>
      <c r="B52" s="76" t="s">
        <v>113</v>
      </c>
      <c r="C52" s="78" t="s">
        <v>154</v>
      </c>
      <c r="D52" s="170">
        <v>23</v>
      </c>
      <c r="E52" s="170">
        <v>8851.27</v>
      </c>
      <c r="F52" s="73">
        <v>1372800410</v>
      </c>
      <c r="G52" s="73"/>
      <c r="H52" s="74" t="s">
        <v>57</v>
      </c>
      <c r="I52" s="74" t="s">
        <v>37</v>
      </c>
      <c r="J52" s="74">
        <v>2026</v>
      </c>
      <c r="K52" s="9" t="s">
        <v>14</v>
      </c>
      <c r="L52" s="9"/>
      <c r="M52" s="78"/>
    </row>
    <row r="53" spans="1:13" s="69" customFormat="1" ht="24" customHeight="1" x14ac:dyDescent="0.25">
      <c r="A53" s="19">
        <v>49</v>
      </c>
      <c r="B53" s="76" t="s">
        <v>123</v>
      </c>
      <c r="C53" s="78" t="s">
        <v>155</v>
      </c>
      <c r="D53" s="170">
        <v>4</v>
      </c>
      <c r="E53" s="170">
        <v>30670</v>
      </c>
      <c r="F53" s="73">
        <v>3054909000</v>
      </c>
      <c r="G53" s="73"/>
      <c r="H53" s="74" t="s">
        <v>54</v>
      </c>
      <c r="I53" s="74" t="s">
        <v>13</v>
      </c>
      <c r="J53" s="74">
        <v>2026</v>
      </c>
      <c r="K53" s="9" t="s">
        <v>14</v>
      </c>
      <c r="L53" s="9"/>
      <c r="M53" s="78"/>
    </row>
    <row r="54" spans="1:13" s="69" customFormat="1" ht="24" customHeight="1" x14ac:dyDescent="0.25">
      <c r="A54" s="88">
        <v>50</v>
      </c>
      <c r="B54" s="76" t="s">
        <v>133</v>
      </c>
      <c r="C54" s="78" t="s">
        <v>156</v>
      </c>
      <c r="D54" s="170">
        <v>1</v>
      </c>
      <c r="E54" s="170">
        <v>10715</v>
      </c>
      <c r="F54" s="73">
        <v>960064000</v>
      </c>
      <c r="G54" s="73"/>
      <c r="H54" s="74" t="s">
        <v>54</v>
      </c>
      <c r="I54" s="74" t="s">
        <v>13</v>
      </c>
      <c r="J54" s="74">
        <v>2026</v>
      </c>
      <c r="K54" s="9" t="s">
        <v>14</v>
      </c>
      <c r="L54" s="9"/>
      <c r="M54" s="78"/>
    </row>
    <row r="55" spans="1:13" s="69" customFormat="1" ht="24" customHeight="1" x14ac:dyDescent="0.25">
      <c r="A55" s="19">
        <v>51</v>
      </c>
      <c r="B55" s="76" t="s">
        <v>143</v>
      </c>
      <c r="C55" s="78" t="s">
        <v>157</v>
      </c>
      <c r="D55" s="170">
        <v>1</v>
      </c>
      <c r="E55" s="170">
        <v>471</v>
      </c>
      <c r="F55" s="73">
        <v>629208000</v>
      </c>
      <c r="G55" s="73"/>
      <c r="H55" s="74" t="s">
        <v>122</v>
      </c>
      <c r="I55" s="74" t="s">
        <v>13</v>
      </c>
      <c r="J55" s="74">
        <v>2026</v>
      </c>
      <c r="K55" s="9" t="s">
        <v>14</v>
      </c>
      <c r="L55" s="9"/>
      <c r="M55" s="78"/>
    </row>
    <row r="56" spans="1:13" s="165" customFormat="1" ht="21" customHeight="1" x14ac:dyDescent="0.2">
      <c r="A56" s="88">
        <v>52</v>
      </c>
      <c r="B56" s="138" t="s">
        <v>145</v>
      </c>
      <c r="C56" s="138" t="s">
        <v>174</v>
      </c>
      <c r="D56" s="190">
        <v>12</v>
      </c>
      <c r="E56" s="171">
        <v>5510</v>
      </c>
      <c r="F56" s="139">
        <v>1539438000</v>
      </c>
      <c r="G56" s="139"/>
      <c r="H56" s="143" t="s">
        <v>146</v>
      </c>
      <c r="I56" s="141" t="s">
        <v>39</v>
      </c>
      <c r="J56" s="141">
        <v>2026</v>
      </c>
      <c r="K56" s="138" t="s">
        <v>14</v>
      </c>
      <c r="L56" s="141"/>
      <c r="M56" s="164"/>
    </row>
    <row r="57" spans="1:13" s="165" customFormat="1" ht="21" customHeight="1" x14ac:dyDescent="0.2">
      <c r="A57" s="19">
        <v>53</v>
      </c>
      <c r="B57" s="138" t="s">
        <v>147</v>
      </c>
      <c r="C57" s="138" t="s">
        <v>175</v>
      </c>
      <c r="D57" s="190">
        <v>4</v>
      </c>
      <c r="E57" s="171">
        <v>2123</v>
      </c>
      <c r="F57" s="139">
        <v>965061000</v>
      </c>
      <c r="G57" s="139"/>
      <c r="H57" s="143" t="s">
        <v>148</v>
      </c>
      <c r="I57" s="141" t="s">
        <v>39</v>
      </c>
      <c r="J57" s="141">
        <v>2026</v>
      </c>
      <c r="K57" s="138" t="s">
        <v>14</v>
      </c>
      <c r="L57" s="141"/>
      <c r="M57" s="164"/>
    </row>
    <row r="58" spans="1:13" s="110" customFormat="1" ht="36" x14ac:dyDescent="0.25">
      <c r="A58" s="88">
        <v>54</v>
      </c>
      <c r="B58" s="104">
        <v>10</v>
      </c>
      <c r="C58" s="105" t="s">
        <v>434</v>
      </c>
      <c r="D58" s="169">
        <v>1</v>
      </c>
      <c r="E58" s="173">
        <v>509</v>
      </c>
      <c r="F58" s="106">
        <v>383050000</v>
      </c>
      <c r="G58" s="106"/>
      <c r="H58" s="107" t="s">
        <v>21</v>
      </c>
      <c r="I58" s="107" t="s">
        <v>409</v>
      </c>
      <c r="J58" s="107">
        <v>2026</v>
      </c>
      <c r="K58" s="107" t="s">
        <v>443</v>
      </c>
      <c r="L58" s="107"/>
      <c r="M58" s="116"/>
    </row>
    <row r="59" spans="1:13" s="110" customFormat="1" ht="24" customHeight="1" x14ac:dyDescent="0.25">
      <c r="A59" s="19">
        <v>55</v>
      </c>
      <c r="B59" s="104">
        <v>12</v>
      </c>
      <c r="C59" s="116" t="s">
        <v>436</v>
      </c>
      <c r="D59" s="169">
        <v>5</v>
      </c>
      <c r="E59" s="173">
        <v>1881</v>
      </c>
      <c r="F59" s="106">
        <v>2079211000</v>
      </c>
      <c r="G59" s="106"/>
      <c r="H59" s="127" t="s">
        <v>164</v>
      </c>
      <c r="I59" s="107" t="s">
        <v>409</v>
      </c>
      <c r="J59" s="107">
        <v>2026</v>
      </c>
      <c r="K59" s="107" t="s">
        <v>440</v>
      </c>
      <c r="L59" s="107"/>
      <c r="M59" s="116"/>
    </row>
    <row r="60" spans="1:13" s="165" customFormat="1" ht="21" customHeight="1" x14ac:dyDescent="0.2">
      <c r="A60" s="88">
        <v>56</v>
      </c>
      <c r="B60" s="138" t="s">
        <v>165</v>
      </c>
      <c r="C60" s="138" t="s">
        <v>177</v>
      </c>
      <c r="D60" s="190">
        <v>2</v>
      </c>
      <c r="E60" s="171">
        <v>209</v>
      </c>
      <c r="F60" s="139">
        <v>346201000</v>
      </c>
      <c r="G60" s="139"/>
      <c r="H60" s="144" t="s">
        <v>88</v>
      </c>
      <c r="I60" s="141" t="s">
        <v>39</v>
      </c>
      <c r="J60" s="141">
        <v>2026</v>
      </c>
      <c r="K60" s="138" t="s">
        <v>14</v>
      </c>
      <c r="L60" s="141"/>
      <c r="M60" s="164"/>
    </row>
    <row r="61" spans="1:13" s="165" customFormat="1" ht="21" customHeight="1" x14ac:dyDescent="0.2">
      <c r="A61" s="19">
        <v>57</v>
      </c>
      <c r="B61" s="138" t="s">
        <v>151</v>
      </c>
      <c r="C61" s="138" t="s">
        <v>176</v>
      </c>
      <c r="D61" s="190">
        <v>5</v>
      </c>
      <c r="E61" s="171">
        <v>1780</v>
      </c>
      <c r="F61" s="139">
        <v>987884000</v>
      </c>
      <c r="G61" s="139"/>
      <c r="H61" s="144" t="s">
        <v>104</v>
      </c>
      <c r="I61" s="141" t="s">
        <v>39</v>
      </c>
      <c r="J61" s="141">
        <v>2026</v>
      </c>
      <c r="K61" s="138" t="s">
        <v>14</v>
      </c>
      <c r="L61" s="141"/>
      <c r="M61" s="164"/>
    </row>
    <row r="62" spans="1:13" s="69" customFormat="1" ht="24" customHeight="1" x14ac:dyDescent="0.25">
      <c r="A62" s="88">
        <v>58</v>
      </c>
      <c r="B62" s="76" t="s">
        <v>144</v>
      </c>
      <c r="C62" s="78" t="s">
        <v>182</v>
      </c>
      <c r="D62" s="170">
        <v>5</v>
      </c>
      <c r="E62" s="170">
        <v>2679</v>
      </c>
      <c r="F62" s="73"/>
      <c r="G62" s="73">
        <v>1732120000</v>
      </c>
      <c r="H62" s="74" t="s">
        <v>72</v>
      </c>
      <c r="I62" s="74" t="s">
        <v>13</v>
      </c>
      <c r="J62" s="74">
        <v>2026</v>
      </c>
      <c r="K62" s="9" t="s">
        <v>38</v>
      </c>
      <c r="L62" s="9"/>
      <c r="M62" s="78"/>
    </row>
    <row r="63" spans="1:13" s="69" customFormat="1" ht="24" customHeight="1" x14ac:dyDescent="0.25">
      <c r="A63" s="19">
        <v>59</v>
      </c>
      <c r="B63" s="76" t="s">
        <v>158</v>
      </c>
      <c r="C63" s="78" t="s">
        <v>183</v>
      </c>
      <c r="D63" s="170">
        <v>1</v>
      </c>
      <c r="E63" s="170">
        <v>60</v>
      </c>
      <c r="F63" s="73">
        <v>733036000</v>
      </c>
      <c r="G63" s="73"/>
      <c r="H63" s="74" t="s">
        <v>87</v>
      </c>
      <c r="I63" s="74" t="s">
        <v>37</v>
      </c>
      <c r="J63" s="74">
        <v>2026</v>
      </c>
      <c r="K63" s="9" t="s">
        <v>14</v>
      </c>
      <c r="L63" s="9"/>
      <c r="M63" s="78"/>
    </row>
    <row r="64" spans="1:13" s="69" customFormat="1" ht="24" customHeight="1" x14ac:dyDescent="0.25">
      <c r="A64" s="88">
        <v>60</v>
      </c>
      <c r="B64" s="76" t="s">
        <v>160</v>
      </c>
      <c r="C64" s="78" t="s">
        <v>184</v>
      </c>
      <c r="D64" s="170">
        <v>5</v>
      </c>
      <c r="E64" s="170">
        <v>109535</v>
      </c>
      <c r="F64" s="73">
        <v>626694000</v>
      </c>
      <c r="G64" s="73"/>
      <c r="H64" s="74" t="s">
        <v>161</v>
      </c>
      <c r="I64" s="74" t="s">
        <v>37</v>
      </c>
      <c r="J64" s="74">
        <v>2026</v>
      </c>
      <c r="K64" s="9" t="s">
        <v>14</v>
      </c>
      <c r="L64" s="9"/>
      <c r="M64" s="78"/>
    </row>
    <row r="65" spans="1:13" s="165" customFormat="1" ht="21" customHeight="1" x14ac:dyDescent="0.2">
      <c r="A65" s="19">
        <v>61</v>
      </c>
      <c r="B65" s="138" t="s">
        <v>149</v>
      </c>
      <c r="C65" s="138" t="s">
        <v>211</v>
      </c>
      <c r="D65" s="190">
        <v>8</v>
      </c>
      <c r="E65" s="171">
        <v>5154</v>
      </c>
      <c r="F65" s="139">
        <v>1754136000</v>
      </c>
      <c r="G65" s="139"/>
      <c r="H65" s="143" t="s">
        <v>150</v>
      </c>
      <c r="I65" s="141" t="s">
        <v>39</v>
      </c>
      <c r="J65" s="141">
        <v>2026</v>
      </c>
      <c r="K65" s="138" t="s">
        <v>14</v>
      </c>
      <c r="L65" s="141"/>
      <c r="M65" s="164"/>
    </row>
    <row r="66" spans="1:13" s="165" customFormat="1" ht="21" customHeight="1" x14ac:dyDescent="0.2">
      <c r="A66" s="88">
        <v>62</v>
      </c>
      <c r="B66" s="138" t="s">
        <v>166</v>
      </c>
      <c r="C66" s="138" t="s">
        <v>212</v>
      </c>
      <c r="D66" s="190">
        <v>5</v>
      </c>
      <c r="E66" s="171">
        <v>2460</v>
      </c>
      <c r="F66" s="139">
        <v>1281625000</v>
      </c>
      <c r="G66" s="139"/>
      <c r="H66" s="143" t="s">
        <v>148</v>
      </c>
      <c r="I66" s="141" t="s">
        <v>39</v>
      </c>
      <c r="J66" s="141">
        <v>2026</v>
      </c>
      <c r="K66" s="138" t="s">
        <v>14</v>
      </c>
      <c r="L66" s="141"/>
      <c r="M66" s="164"/>
    </row>
    <row r="67" spans="1:13" s="165" customFormat="1" ht="21" customHeight="1" x14ac:dyDescent="0.2">
      <c r="A67" s="19">
        <v>63</v>
      </c>
      <c r="B67" s="138" t="s">
        <v>173</v>
      </c>
      <c r="C67" s="138" t="s">
        <v>213</v>
      </c>
      <c r="D67" s="190">
        <v>2</v>
      </c>
      <c r="E67" s="171">
        <v>369</v>
      </c>
      <c r="F67" s="139">
        <v>232100000</v>
      </c>
      <c r="G67" s="139"/>
      <c r="H67" s="143" t="s">
        <v>63</v>
      </c>
      <c r="I67" s="141" t="s">
        <v>476</v>
      </c>
      <c r="J67" s="141">
        <v>2026</v>
      </c>
      <c r="K67" s="138" t="s">
        <v>14</v>
      </c>
      <c r="L67" s="141"/>
      <c r="M67" s="164"/>
    </row>
    <row r="68" spans="1:13" s="165" customFormat="1" ht="21" customHeight="1" x14ac:dyDescent="0.2">
      <c r="A68" s="88">
        <v>64</v>
      </c>
      <c r="B68" s="138" t="s">
        <v>172</v>
      </c>
      <c r="C68" s="138" t="s">
        <v>214</v>
      </c>
      <c r="D68" s="190">
        <v>1</v>
      </c>
      <c r="E68" s="171">
        <v>579</v>
      </c>
      <c r="F68" s="139">
        <v>286231000</v>
      </c>
      <c r="G68" s="139"/>
      <c r="H68" s="143" t="s">
        <v>65</v>
      </c>
      <c r="I68" s="141" t="s">
        <v>39</v>
      </c>
      <c r="J68" s="141">
        <v>2026</v>
      </c>
      <c r="K68" s="138" t="s">
        <v>14</v>
      </c>
      <c r="L68" s="141"/>
      <c r="M68" s="164"/>
    </row>
    <row r="69" spans="1:13" s="165" customFormat="1" ht="21" customHeight="1" x14ac:dyDescent="0.2">
      <c r="A69" s="19">
        <v>65</v>
      </c>
      <c r="B69" s="138" t="s">
        <v>170</v>
      </c>
      <c r="C69" s="138" t="s">
        <v>215</v>
      </c>
      <c r="D69" s="190">
        <v>4</v>
      </c>
      <c r="E69" s="171">
        <v>2032</v>
      </c>
      <c r="F69" s="139">
        <v>861209000</v>
      </c>
      <c r="G69" s="139"/>
      <c r="H69" s="143" t="s">
        <v>148</v>
      </c>
      <c r="I69" s="141" t="s">
        <v>39</v>
      </c>
      <c r="J69" s="141">
        <v>2026</v>
      </c>
      <c r="K69" s="138" t="s">
        <v>14</v>
      </c>
      <c r="L69" s="141"/>
      <c r="M69" s="164"/>
    </row>
    <row r="70" spans="1:13" s="165" customFormat="1" ht="21" customHeight="1" x14ac:dyDescent="0.2">
      <c r="A70" s="88">
        <v>66</v>
      </c>
      <c r="B70" s="138" t="s">
        <v>178</v>
      </c>
      <c r="C70" s="138" t="s">
        <v>216</v>
      </c>
      <c r="D70" s="190">
        <v>15</v>
      </c>
      <c r="E70" s="171">
        <v>7988</v>
      </c>
      <c r="F70" s="139">
        <v>3586214000</v>
      </c>
      <c r="G70" s="139"/>
      <c r="H70" s="143" t="s">
        <v>179</v>
      </c>
      <c r="I70" s="141" t="s">
        <v>39</v>
      </c>
      <c r="J70" s="141">
        <v>2026</v>
      </c>
      <c r="K70" s="138" t="s">
        <v>14</v>
      </c>
      <c r="L70" s="141"/>
      <c r="M70" s="164"/>
    </row>
    <row r="71" spans="1:13" s="165" customFormat="1" ht="21" customHeight="1" x14ac:dyDescent="0.2">
      <c r="A71" s="19">
        <v>67</v>
      </c>
      <c r="B71" s="138" t="s">
        <v>167</v>
      </c>
      <c r="C71" s="138" t="s">
        <v>217</v>
      </c>
      <c r="D71" s="190">
        <v>7</v>
      </c>
      <c r="E71" s="171">
        <v>1873.16</v>
      </c>
      <c r="F71" s="139">
        <v>3466414000</v>
      </c>
      <c r="G71" s="139"/>
      <c r="H71" s="144" t="s">
        <v>168</v>
      </c>
      <c r="I71" s="141" t="s">
        <v>479</v>
      </c>
      <c r="J71" s="141">
        <v>2026</v>
      </c>
      <c r="K71" s="138" t="s">
        <v>14</v>
      </c>
      <c r="L71" s="141"/>
      <c r="M71" s="164"/>
    </row>
    <row r="72" spans="1:13" s="165" customFormat="1" ht="21" customHeight="1" x14ac:dyDescent="0.2">
      <c r="A72" s="88">
        <v>68</v>
      </c>
      <c r="B72" s="138" t="s">
        <v>171</v>
      </c>
      <c r="C72" s="138" t="s">
        <v>218</v>
      </c>
      <c r="D72" s="190">
        <v>3</v>
      </c>
      <c r="E72" s="171">
        <v>1263</v>
      </c>
      <c r="F72" s="139">
        <v>705691000</v>
      </c>
      <c r="G72" s="139"/>
      <c r="H72" s="143" t="s">
        <v>480</v>
      </c>
      <c r="I72" s="141" t="s">
        <v>39</v>
      </c>
      <c r="J72" s="141">
        <v>2026</v>
      </c>
      <c r="K72" s="138" t="s">
        <v>14</v>
      </c>
      <c r="L72" s="141"/>
      <c r="M72" s="164"/>
    </row>
    <row r="73" spans="1:13" s="165" customFormat="1" ht="21" customHeight="1" x14ac:dyDescent="0.2">
      <c r="A73" s="19">
        <v>69</v>
      </c>
      <c r="B73" s="138" t="s">
        <v>180</v>
      </c>
      <c r="C73" s="138" t="s">
        <v>219</v>
      </c>
      <c r="D73" s="190">
        <v>5</v>
      </c>
      <c r="E73" s="171">
        <v>3035</v>
      </c>
      <c r="F73" s="139">
        <v>679921000</v>
      </c>
      <c r="G73" s="139"/>
      <c r="H73" s="143" t="s">
        <v>146</v>
      </c>
      <c r="I73" s="141" t="s">
        <v>39</v>
      </c>
      <c r="J73" s="141">
        <v>2026</v>
      </c>
      <c r="K73" s="138" t="s">
        <v>14</v>
      </c>
      <c r="L73" s="141"/>
      <c r="M73" s="164"/>
    </row>
    <row r="74" spans="1:13" s="165" customFormat="1" ht="21" customHeight="1" x14ac:dyDescent="0.2">
      <c r="A74" s="88">
        <v>70</v>
      </c>
      <c r="B74" s="138" t="s">
        <v>181</v>
      </c>
      <c r="C74" s="138" t="s">
        <v>220</v>
      </c>
      <c r="D74" s="190">
        <v>3</v>
      </c>
      <c r="E74" s="171">
        <v>754</v>
      </c>
      <c r="F74" s="139">
        <v>1638830000</v>
      </c>
      <c r="G74" s="139"/>
      <c r="H74" s="144" t="s">
        <v>168</v>
      </c>
      <c r="I74" s="141" t="s">
        <v>479</v>
      </c>
      <c r="J74" s="141">
        <v>2026</v>
      </c>
      <c r="K74" s="138" t="s">
        <v>14</v>
      </c>
      <c r="L74" s="141"/>
      <c r="M74" s="164"/>
    </row>
    <row r="75" spans="1:13" s="165" customFormat="1" ht="21" customHeight="1" x14ac:dyDescent="0.2">
      <c r="A75" s="19">
        <v>71</v>
      </c>
      <c r="B75" s="138" t="s">
        <v>205</v>
      </c>
      <c r="C75" s="138" t="s">
        <v>206</v>
      </c>
      <c r="D75" s="190">
        <v>1</v>
      </c>
      <c r="E75" s="171">
        <v>357</v>
      </c>
      <c r="F75" s="139">
        <v>218925000</v>
      </c>
      <c r="G75" s="139"/>
      <c r="H75" s="144" t="s">
        <v>104</v>
      </c>
      <c r="I75" s="141" t="s">
        <v>39</v>
      </c>
      <c r="J75" s="141">
        <v>2026</v>
      </c>
      <c r="K75" s="138" t="s">
        <v>14</v>
      </c>
      <c r="L75" s="141"/>
      <c r="M75" s="164"/>
    </row>
    <row r="76" spans="1:13" s="165" customFormat="1" ht="21" customHeight="1" x14ac:dyDescent="0.2">
      <c r="A76" s="88">
        <v>72</v>
      </c>
      <c r="B76" s="138" t="s">
        <v>207</v>
      </c>
      <c r="C76" s="138" t="s">
        <v>208</v>
      </c>
      <c r="D76" s="190">
        <v>1</v>
      </c>
      <c r="E76" s="171">
        <v>246</v>
      </c>
      <c r="F76" s="139">
        <v>188042000</v>
      </c>
      <c r="G76" s="139"/>
      <c r="H76" s="143" t="s">
        <v>63</v>
      </c>
      <c r="I76" s="141" t="s">
        <v>476</v>
      </c>
      <c r="J76" s="141">
        <v>2026</v>
      </c>
      <c r="K76" s="138" t="s">
        <v>14</v>
      </c>
      <c r="L76" s="141"/>
      <c r="M76" s="164"/>
    </row>
    <row r="77" spans="1:13" s="165" customFormat="1" ht="21" customHeight="1" x14ac:dyDescent="0.2">
      <c r="A77" s="19">
        <v>73</v>
      </c>
      <c r="B77" s="138" t="s">
        <v>209</v>
      </c>
      <c r="C77" s="138" t="s">
        <v>210</v>
      </c>
      <c r="D77" s="190">
        <v>1</v>
      </c>
      <c r="E77" s="171">
        <v>346</v>
      </c>
      <c r="F77" s="139">
        <v>114180000</v>
      </c>
      <c r="G77" s="139"/>
      <c r="H77" s="144" t="s">
        <v>65</v>
      </c>
      <c r="I77" s="141" t="s">
        <v>39</v>
      </c>
      <c r="J77" s="141">
        <v>2026</v>
      </c>
      <c r="K77" s="138" t="s">
        <v>14</v>
      </c>
      <c r="L77" s="141"/>
      <c r="M77" s="164"/>
    </row>
    <row r="78" spans="1:13" s="114" customFormat="1" ht="12" customHeight="1" x14ac:dyDescent="0.25">
      <c r="A78" s="88">
        <v>74</v>
      </c>
      <c r="B78" s="111" t="s">
        <v>403</v>
      </c>
      <c r="C78" s="108" t="s">
        <v>435</v>
      </c>
      <c r="D78" s="169">
        <v>9</v>
      </c>
      <c r="E78" s="169">
        <v>3803</v>
      </c>
      <c r="F78" s="106">
        <v>4183447000</v>
      </c>
      <c r="G78" s="117"/>
      <c r="H78" s="107" t="s">
        <v>18</v>
      </c>
      <c r="I78" s="107" t="s">
        <v>94</v>
      </c>
      <c r="J78" s="107">
        <v>2026</v>
      </c>
      <c r="K78" s="107" t="s">
        <v>14</v>
      </c>
      <c r="L78" s="107"/>
      <c r="M78" s="108"/>
    </row>
    <row r="79" spans="1:13" s="110" customFormat="1" ht="24" x14ac:dyDescent="0.25">
      <c r="A79" s="19">
        <v>75</v>
      </c>
      <c r="B79" s="104">
        <v>13</v>
      </c>
      <c r="C79" s="116" t="s">
        <v>431</v>
      </c>
      <c r="D79" s="169">
        <v>10</v>
      </c>
      <c r="E79" s="169">
        <v>3837</v>
      </c>
      <c r="F79" s="106">
        <v>2337253000</v>
      </c>
      <c r="G79" s="106"/>
      <c r="H79" s="119" t="s">
        <v>187</v>
      </c>
      <c r="I79" s="107" t="s">
        <v>409</v>
      </c>
      <c r="J79" s="107">
        <v>2026</v>
      </c>
      <c r="K79" s="107" t="s">
        <v>441</v>
      </c>
      <c r="L79" s="107"/>
      <c r="M79" s="116"/>
    </row>
    <row r="80" spans="1:13" s="69" customFormat="1" ht="24" customHeight="1" x14ac:dyDescent="0.2">
      <c r="A80" s="88">
        <v>76</v>
      </c>
      <c r="B80" s="76" t="s">
        <v>190</v>
      </c>
      <c r="C80" s="78" t="s">
        <v>223</v>
      </c>
      <c r="D80" s="170">
        <v>1</v>
      </c>
      <c r="E80" s="170">
        <v>474</v>
      </c>
      <c r="F80" s="73">
        <v>6446000</v>
      </c>
      <c r="G80" s="73"/>
      <c r="H80" s="131" t="s">
        <v>191</v>
      </c>
      <c r="I80" s="74" t="s">
        <v>37</v>
      </c>
      <c r="J80" s="74">
        <v>2026</v>
      </c>
      <c r="K80" s="9" t="s">
        <v>14</v>
      </c>
      <c r="L80" s="9"/>
      <c r="M80" s="78"/>
    </row>
    <row r="81" spans="1:13" s="69" customFormat="1" ht="24" customHeight="1" x14ac:dyDescent="0.2">
      <c r="A81" s="19">
        <v>77</v>
      </c>
      <c r="B81" s="76" t="s">
        <v>193</v>
      </c>
      <c r="C81" s="78" t="s">
        <v>224</v>
      </c>
      <c r="D81" s="170">
        <v>1</v>
      </c>
      <c r="E81" s="170">
        <v>384</v>
      </c>
      <c r="F81" s="73">
        <v>541163000</v>
      </c>
      <c r="G81" s="73"/>
      <c r="H81" s="132" t="s">
        <v>194</v>
      </c>
      <c r="I81" s="74" t="s">
        <v>37</v>
      </c>
      <c r="J81" s="74">
        <v>2026</v>
      </c>
      <c r="K81" s="9" t="s">
        <v>14</v>
      </c>
      <c r="L81" s="9"/>
      <c r="M81" s="78"/>
    </row>
    <row r="82" spans="1:13" s="69" customFormat="1" ht="24" customHeight="1" x14ac:dyDescent="0.25">
      <c r="A82" s="88">
        <v>78</v>
      </c>
      <c r="B82" s="76" t="s">
        <v>196</v>
      </c>
      <c r="C82" s="78" t="s">
        <v>222</v>
      </c>
      <c r="D82" s="170">
        <v>2</v>
      </c>
      <c r="E82" s="170" t="s">
        <v>36</v>
      </c>
      <c r="F82" s="73">
        <v>388670000</v>
      </c>
      <c r="G82" s="73"/>
      <c r="H82" s="74" t="s">
        <v>87</v>
      </c>
      <c r="I82" s="74" t="s">
        <v>37</v>
      </c>
      <c r="J82" s="74">
        <v>2026</v>
      </c>
      <c r="K82" s="9" t="s">
        <v>14</v>
      </c>
      <c r="L82" s="9"/>
      <c r="M82" s="78"/>
    </row>
    <row r="83" spans="1:13" s="165" customFormat="1" ht="21" customHeight="1" x14ac:dyDescent="0.2">
      <c r="A83" s="19">
        <v>79</v>
      </c>
      <c r="B83" s="138" t="s">
        <v>169</v>
      </c>
      <c r="C83" s="138" t="s">
        <v>235</v>
      </c>
      <c r="D83" s="190">
        <v>9</v>
      </c>
      <c r="E83" s="171">
        <v>5746</v>
      </c>
      <c r="F83" s="139">
        <v>231602000</v>
      </c>
      <c r="G83" s="139"/>
      <c r="H83" s="144" t="s">
        <v>60</v>
      </c>
      <c r="I83" s="141" t="s">
        <v>475</v>
      </c>
      <c r="J83" s="141">
        <v>2026</v>
      </c>
      <c r="K83" s="138" t="s">
        <v>14</v>
      </c>
      <c r="L83" s="141"/>
      <c r="M83" s="164"/>
    </row>
    <row r="84" spans="1:13" s="165" customFormat="1" ht="21" customHeight="1" x14ac:dyDescent="0.2">
      <c r="A84" s="88">
        <v>80</v>
      </c>
      <c r="B84" s="138" t="s">
        <v>197</v>
      </c>
      <c r="C84" s="138" t="s">
        <v>236</v>
      </c>
      <c r="D84" s="190">
        <v>10</v>
      </c>
      <c r="E84" s="171">
        <v>3880</v>
      </c>
      <c r="F84" s="139">
        <v>2381674000</v>
      </c>
      <c r="G84" s="139"/>
      <c r="H84" s="144" t="s">
        <v>198</v>
      </c>
      <c r="I84" s="141" t="s">
        <v>39</v>
      </c>
      <c r="J84" s="141">
        <v>2026</v>
      </c>
      <c r="K84" s="138" t="s">
        <v>14</v>
      </c>
      <c r="L84" s="141"/>
      <c r="M84" s="164"/>
    </row>
    <row r="85" spans="1:13" s="165" customFormat="1" ht="21" customHeight="1" x14ac:dyDescent="0.2">
      <c r="A85" s="19">
        <v>81</v>
      </c>
      <c r="B85" s="138" t="s">
        <v>199</v>
      </c>
      <c r="C85" s="138" t="s">
        <v>237</v>
      </c>
      <c r="D85" s="191">
        <v>1</v>
      </c>
      <c r="E85" s="157">
        <v>945</v>
      </c>
      <c r="F85" s="157">
        <v>469859000</v>
      </c>
      <c r="G85" s="138"/>
      <c r="H85" s="138" t="s">
        <v>200</v>
      </c>
      <c r="I85" s="141" t="s">
        <v>99</v>
      </c>
      <c r="J85" s="141">
        <v>2026</v>
      </c>
      <c r="K85" s="138" t="s">
        <v>14</v>
      </c>
      <c r="L85" s="141"/>
      <c r="M85" s="164"/>
    </row>
    <row r="86" spans="1:13" s="165" customFormat="1" ht="21" customHeight="1" x14ac:dyDescent="0.2">
      <c r="A86" s="88">
        <v>82</v>
      </c>
      <c r="B86" s="138" t="s">
        <v>203</v>
      </c>
      <c r="C86" s="138" t="s">
        <v>238</v>
      </c>
      <c r="D86" s="190">
        <v>1</v>
      </c>
      <c r="E86" s="171">
        <v>700</v>
      </c>
      <c r="F86" s="139">
        <v>444613000</v>
      </c>
      <c r="G86" s="139"/>
      <c r="H86" s="143" t="s">
        <v>179</v>
      </c>
      <c r="I86" s="141" t="s">
        <v>39</v>
      </c>
      <c r="J86" s="141">
        <v>2026</v>
      </c>
      <c r="K86" s="138" t="s">
        <v>14</v>
      </c>
      <c r="L86" s="141"/>
      <c r="M86" s="164"/>
    </row>
    <row r="87" spans="1:13" s="165" customFormat="1" ht="21" customHeight="1" x14ac:dyDescent="0.2">
      <c r="A87" s="19">
        <v>83</v>
      </c>
      <c r="B87" s="138" t="s">
        <v>232</v>
      </c>
      <c r="C87" s="138" t="s">
        <v>233</v>
      </c>
      <c r="D87" s="190">
        <v>1</v>
      </c>
      <c r="E87" s="171">
        <v>4199</v>
      </c>
      <c r="F87" s="139">
        <v>7105776000</v>
      </c>
      <c r="G87" s="139"/>
      <c r="H87" s="144" t="s">
        <v>234</v>
      </c>
      <c r="I87" s="141" t="s">
        <v>39</v>
      </c>
      <c r="J87" s="141">
        <v>2026</v>
      </c>
      <c r="K87" s="138" t="s">
        <v>14</v>
      </c>
      <c r="L87" s="141"/>
      <c r="M87" s="164"/>
    </row>
    <row r="88" spans="1:13" s="114" customFormat="1" ht="24" x14ac:dyDescent="0.25">
      <c r="A88" s="88">
        <v>84</v>
      </c>
      <c r="B88" s="111">
        <v>23</v>
      </c>
      <c r="C88" s="108" t="s">
        <v>417</v>
      </c>
      <c r="D88" s="175">
        <v>13</v>
      </c>
      <c r="E88" s="174">
        <v>6346</v>
      </c>
      <c r="F88" s="117">
        <v>6311087000</v>
      </c>
      <c r="G88" s="117"/>
      <c r="H88" s="119" t="s">
        <v>329</v>
      </c>
      <c r="I88" s="107" t="s">
        <v>409</v>
      </c>
      <c r="J88" s="107">
        <v>2026</v>
      </c>
      <c r="K88" s="107" t="s">
        <v>437</v>
      </c>
      <c r="L88" s="107"/>
      <c r="M88" s="108"/>
    </row>
    <row r="89" spans="1:13" s="110" customFormat="1" ht="24" x14ac:dyDescent="0.25">
      <c r="A89" s="19">
        <v>85</v>
      </c>
      <c r="B89" s="104">
        <v>15</v>
      </c>
      <c r="C89" s="108" t="s">
        <v>418</v>
      </c>
      <c r="D89" s="169">
        <v>19</v>
      </c>
      <c r="E89" s="169">
        <v>9137</v>
      </c>
      <c r="F89" s="106">
        <v>5309168000</v>
      </c>
      <c r="G89" s="106"/>
      <c r="H89" s="119" t="s">
        <v>189</v>
      </c>
      <c r="I89" s="107" t="s">
        <v>409</v>
      </c>
      <c r="J89" s="107">
        <v>2026</v>
      </c>
      <c r="K89" s="107" t="s">
        <v>437</v>
      </c>
      <c r="L89" s="107"/>
      <c r="M89" s="116"/>
    </row>
    <row r="90" spans="1:13" s="110" customFormat="1" ht="24" x14ac:dyDescent="0.25">
      <c r="A90" s="88">
        <v>86</v>
      </c>
      <c r="B90" s="104">
        <v>14</v>
      </c>
      <c r="C90" s="108" t="s">
        <v>419</v>
      </c>
      <c r="D90" s="169">
        <v>1</v>
      </c>
      <c r="E90" s="169">
        <v>248</v>
      </c>
      <c r="F90" s="106">
        <v>336204000</v>
      </c>
      <c r="G90" s="106"/>
      <c r="H90" s="119" t="s">
        <v>188</v>
      </c>
      <c r="I90" s="107" t="s">
        <v>37</v>
      </c>
      <c r="J90" s="107">
        <v>2026</v>
      </c>
      <c r="K90" s="107" t="s">
        <v>14</v>
      </c>
      <c r="L90" s="107"/>
      <c r="M90" s="116"/>
    </row>
    <row r="91" spans="1:13" s="110" customFormat="1" x14ac:dyDescent="0.25">
      <c r="A91" s="19">
        <v>87</v>
      </c>
      <c r="B91" s="104" t="s">
        <v>404</v>
      </c>
      <c r="C91" s="108" t="s">
        <v>420</v>
      </c>
      <c r="D91" s="169">
        <v>2</v>
      </c>
      <c r="E91" s="169">
        <v>985</v>
      </c>
      <c r="F91" s="106">
        <v>782164000</v>
      </c>
      <c r="G91" s="106"/>
      <c r="H91" s="107" t="s">
        <v>18</v>
      </c>
      <c r="I91" s="107" t="s">
        <v>94</v>
      </c>
      <c r="J91" s="107">
        <v>2026</v>
      </c>
      <c r="K91" s="107" t="s">
        <v>14</v>
      </c>
      <c r="L91" s="107"/>
      <c r="M91" s="116"/>
    </row>
    <row r="92" spans="1:13" s="110" customFormat="1" x14ac:dyDescent="0.25">
      <c r="A92" s="88">
        <v>88</v>
      </c>
      <c r="B92" s="104">
        <v>17</v>
      </c>
      <c r="C92" s="108" t="s">
        <v>421</v>
      </c>
      <c r="D92" s="169">
        <v>6</v>
      </c>
      <c r="E92" s="169">
        <v>2986.55</v>
      </c>
      <c r="F92" s="106">
        <v>2046489000</v>
      </c>
      <c r="G92" s="106"/>
      <c r="H92" s="119" t="s">
        <v>329</v>
      </c>
      <c r="I92" s="107" t="s">
        <v>94</v>
      </c>
      <c r="J92" s="107">
        <v>2026</v>
      </c>
      <c r="K92" s="107" t="s">
        <v>437</v>
      </c>
      <c r="L92" s="107"/>
      <c r="M92" s="116"/>
    </row>
    <row r="93" spans="1:13" s="110" customFormat="1" ht="24" x14ac:dyDescent="0.25">
      <c r="A93" s="19">
        <v>89</v>
      </c>
      <c r="B93" s="104">
        <v>16</v>
      </c>
      <c r="C93" s="108" t="s">
        <v>422</v>
      </c>
      <c r="D93" s="169">
        <v>8</v>
      </c>
      <c r="E93" s="169">
        <v>3718.37</v>
      </c>
      <c r="F93" s="106">
        <v>2310154000</v>
      </c>
      <c r="G93" s="106"/>
      <c r="H93" s="119" t="s">
        <v>187</v>
      </c>
      <c r="I93" s="107" t="s">
        <v>409</v>
      </c>
      <c r="J93" s="107">
        <v>2026</v>
      </c>
      <c r="K93" s="107" t="s">
        <v>441</v>
      </c>
      <c r="L93" s="107"/>
      <c r="M93" s="116"/>
    </row>
    <row r="94" spans="1:13" s="114" customFormat="1" ht="24" x14ac:dyDescent="0.25">
      <c r="A94" s="88">
        <v>90</v>
      </c>
      <c r="B94" s="111">
        <v>18</v>
      </c>
      <c r="C94" s="108" t="s">
        <v>423</v>
      </c>
      <c r="D94" s="175">
        <v>11</v>
      </c>
      <c r="E94" s="174">
        <v>4755</v>
      </c>
      <c r="F94" s="117">
        <v>1610606000</v>
      </c>
      <c r="G94" s="117"/>
      <c r="H94" s="115" t="s">
        <v>221</v>
      </c>
      <c r="I94" s="107" t="s">
        <v>409</v>
      </c>
      <c r="J94" s="107">
        <v>2026</v>
      </c>
      <c r="K94" s="107" t="s">
        <v>442</v>
      </c>
      <c r="L94" s="107"/>
      <c r="M94" s="108"/>
    </row>
    <row r="95" spans="1:13" s="114" customFormat="1" ht="12" customHeight="1" x14ac:dyDescent="0.25">
      <c r="A95" s="19">
        <v>91</v>
      </c>
      <c r="B95" s="111">
        <v>21</v>
      </c>
      <c r="C95" s="108" t="s">
        <v>424</v>
      </c>
      <c r="D95" s="175">
        <v>2</v>
      </c>
      <c r="E95" s="175">
        <v>933</v>
      </c>
      <c r="F95" s="117">
        <v>529767000</v>
      </c>
      <c r="G95" s="117"/>
      <c r="H95" s="119" t="s">
        <v>187</v>
      </c>
      <c r="I95" s="107" t="s">
        <v>409</v>
      </c>
      <c r="J95" s="107">
        <v>2026</v>
      </c>
      <c r="K95" s="107" t="s">
        <v>441</v>
      </c>
      <c r="L95" s="107"/>
      <c r="M95" s="108"/>
    </row>
    <row r="96" spans="1:13" s="114" customFormat="1" ht="12" customHeight="1" x14ac:dyDescent="0.25">
      <c r="A96" s="88">
        <v>92</v>
      </c>
      <c r="B96" s="111">
        <v>24</v>
      </c>
      <c r="C96" s="108" t="s">
        <v>425</v>
      </c>
      <c r="D96" s="175">
        <v>13</v>
      </c>
      <c r="E96" s="174">
        <v>4915.0599999999995</v>
      </c>
      <c r="F96" s="117">
        <v>6829781000</v>
      </c>
      <c r="G96" s="117"/>
      <c r="H96" s="118" t="s">
        <v>231</v>
      </c>
      <c r="I96" s="107" t="s">
        <v>409</v>
      </c>
      <c r="J96" s="107">
        <v>2026</v>
      </c>
      <c r="K96" s="107" t="s">
        <v>437</v>
      </c>
      <c r="L96" s="107"/>
      <c r="M96" s="108"/>
    </row>
    <row r="97" spans="1:13" s="114" customFormat="1" ht="12" customHeight="1" x14ac:dyDescent="0.25">
      <c r="A97" s="19">
        <v>93</v>
      </c>
      <c r="B97" s="111" t="s">
        <v>405</v>
      </c>
      <c r="C97" s="108" t="s">
        <v>426</v>
      </c>
      <c r="D97" s="175">
        <v>6</v>
      </c>
      <c r="E97" s="174">
        <v>2792</v>
      </c>
      <c r="F97" s="117">
        <v>2932315000</v>
      </c>
      <c r="G97" s="117"/>
      <c r="H97" s="107" t="s">
        <v>18</v>
      </c>
      <c r="I97" s="107" t="s">
        <v>94</v>
      </c>
      <c r="J97" s="107">
        <v>2026</v>
      </c>
      <c r="K97" s="107" t="s">
        <v>14</v>
      </c>
      <c r="L97" s="107"/>
      <c r="M97" s="108"/>
    </row>
    <row r="98" spans="1:13" s="165" customFormat="1" ht="21" customHeight="1" x14ac:dyDescent="0.2">
      <c r="A98" s="88">
        <v>94</v>
      </c>
      <c r="B98" s="138" t="s">
        <v>201</v>
      </c>
      <c r="C98" s="138" t="s">
        <v>269</v>
      </c>
      <c r="D98" s="190">
        <v>4</v>
      </c>
      <c r="E98" s="171">
        <v>2416</v>
      </c>
      <c r="F98" s="139">
        <v>372766000</v>
      </c>
      <c r="G98" s="139"/>
      <c r="H98" s="143" t="s">
        <v>146</v>
      </c>
      <c r="I98" s="141" t="s">
        <v>39</v>
      </c>
      <c r="J98" s="141">
        <v>2026</v>
      </c>
      <c r="K98" s="138" t="s">
        <v>14</v>
      </c>
      <c r="L98" s="141"/>
      <c r="M98" s="164"/>
    </row>
    <row r="99" spans="1:13" s="165" customFormat="1" ht="21" customHeight="1" x14ac:dyDescent="0.2">
      <c r="A99" s="19">
        <v>95</v>
      </c>
      <c r="B99" s="138" t="s">
        <v>202</v>
      </c>
      <c r="C99" s="138" t="s">
        <v>267</v>
      </c>
      <c r="D99" s="190">
        <v>6</v>
      </c>
      <c r="E99" s="171">
        <v>3398</v>
      </c>
      <c r="F99" s="139">
        <v>502795000</v>
      </c>
      <c r="G99" s="139"/>
      <c r="H99" s="144" t="s">
        <v>60</v>
      </c>
      <c r="I99" s="141" t="s">
        <v>475</v>
      </c>
      <c r="J99" s="141">
        <v>2026</v>
      </c>
      <c r="K99" s="138" t="s">
        <v>14</v>
      </c>
      <c r="L99" s="141"/>
      <c r="M99" s="164"/>
    </row>
    <row r="100" spans="1:13" s="165" customFormat="1" ht="21" customHeight="1" x14ac:dyDescent="0.2">
      <c r="A100" s="88">
        <v>96</v>
      </c>
      <c r="B100" s="138" t="s">
        <v>204</v>
      </c>
      <c r="C100" s="138" t="s">
        <v>270</v>
      </c>
      <c r="D100" s="190">
        <v>12</v>
      </c>
      <c r="E100" s="171">
        <v>3038</v>
      </c>
      <c r="F100" s="139">
        <v>5089567000</v>
      </c>
      <c r="G100" s="139"/>
      <c r="H100" s="144" t="s">
        <v>168</v>
      </c>
      <c r="I100" s="141" t="s">
        <v>479</v>
      </c>
      <c r="J100" s="141">
        <v>2026</v>
      </c>
      <c r="K100" s="138" t="s">
        <v>14</v>
      </c>
      <c r="L100" s="141"/>
      <c r="M100" s="164"/>
    </row>
    <row r="101" spans="1:13" s="165" customFormat="1" ht="21" customHeight="1" x14ac:dyDescent="0.2">
      <c r="A101" s="19">
        <v>97</v>
      </c>
      <c r="B101" s="138" t="s">
        <v>239</v>
      </c>
      <c r="C101" s="138" t="s">
        <v>268</v>
      </c>
      <c r="D101" s="190">
        <v>3</v>
      </c>
      <c r="E101" s="171">
        <v>1610</v>
      </c>
      <c r="F101" s="139">
        <v>868479000</v>
      </c>
      <c r="G101" s="139"/>
      <c r="H101" s="143" t="s">
        <v>148</v>
      </c>
      <c r="I101" s="141" t="s">
        <v>39</v>
      </c>
      <c r="J101" s="141">
        <v>2026</v>
      </c>
      <c r="K101" s="138" t="s">
        <v>14</v>
      </c>
      <c r="L101" s="141"/>
      <c r="M101" s="164"/>
    </row>
    <row r="102" spans="1:13" s="165" customFormat="1" ht="21" customHeight="1" x14ac:dyDescent="0.2">
      <c r="A102" s="88">
        <v>98</v>
      </c>
      <c r="B102" s="138" t="s">
        <v>240</v>
      </c>
      <c r="C102" s="138" t="s">
        <v>266</v>
      </c>
      <c r="D102" s="190">
        <v>5</v>
      </c>
      <c r="E102" s="171">
        <v>1131</v>
      </c>
      <c r="F102" s="139">
        <v>1646755000</v>
      </c>
      <c r="G102" s="139"/>
      <c r="H102" s="144" t="s">
        <v>168</v>
      </c>
      <c r="I102" s="141" t="s">
        <v>479</v>
      </c>
      <c r="J102" s="141">
        <v>2026</v>
      </c>
      <c r="K102" s="138" t="s">
        <v>14</v>
      </c>
      <c r="L102" s="141"/>
      <c r="M102" s="164"/>
    </row>
    <row r="103" spans="1:13" s="69" customFormat="1" ht="24" customHeight="1" x14ac:dyDescent="0.25">
      <c r="A103" s="19">
        <v>99</v>
      </c>
      <c r="B103" s="76" t="s">
        <v>186</v>
      </c>
      <c r="C103" s="78" t="s">
        <v>259</v>
      </c>
      <c r="D103" s="170">
        <v>2</v>
      </c>
      <c r="E103" s="170">
        <v>803</v>
      </c>
      <c r="F103" s="73">
        <v>474329000</v>
      </c>
      <c r="G103" s="73"/>
      <c r="H103" s="74" t="s">
        <v>57</v>
      </c>
      <c r="I103" s="74" t="s">
        <v>37</v>
      </c>
      <c r="J103" s="74">
        <v>2026</v>
      </c>
      <c r="K103" s="9" t="s">
        <v>14</v>
      </c>
      <c r="L103" s="9"/>
      <c r="M103" s="78"/>
    </row>
    <row r="104" spans="1:13" s="69" customFormat="1" ht="24" x14ac:dyDescent="0.2">
      <c r="A104" s="88">
        <v>100</v>
      </c>
      <c r="B104" s="76" t="s">
        <v>185</v>
      </c>
      <c r="C104" s="78" t="s">
        <v>260</v>
      </c>
      <c r="D104" s="170">
        <v>9</v>
      </c>
      <c r="E104" s="170">
        <v>5162</v>
      </c>
      <c r="F104" s="73">
        <v>1662651000</v>
      </c>
      <c r="G104" s="73"/>
      <c r="H104" s="131" t="s">
        <v>227</v>
      </c>
      <c r="I104" s="74" t="s">
        <v>13</v>
      </c>
      <c r="J104" s="74">
        <v>2026</v>
      </c>
      <c r="K104" s="9" t="s">
        <v>14</v>
      </c>
      <c r="L104" s="9"/>
      <c r="M104" s="78"/>
    </row>
    <row r="105" spans="1:13" s="69" customFormat="1" ht="24" x14ac:dyDescent="0.2">
      <c r="A105" s="19">
        <v>101</v>
      </c>
      <c r="B105" s="76" t="s">
        <v>192</v>
      </c>
      <c r="C105" s="78" t="s">
        <v>261</v>
      </c>
      <c r="D105" s="170">
        <v>3</v>
      </c>
      <c r="E105" s="170">
        <v>1869</v>
      </c>
      <c r="F105" s="73">
        <v>678298000</v>
      </c>
      <c r="G105" s="73"/>
      <c r="H105" s="131" t="s">
        <v>227</v>
      </c>
      <c r="I105" s="74" t="s">
        <v>13</v>
      </c>
      <c r="J105" s="74">
        <v>2026</v>
      </c>
      <c r="K105" s="9" t="s">
        <v>14</v>
      </c>
      <c r="L105" s="9"/>
      <c r="M105" s="78"/>
    </row>
    <row r="106" spans="1:13" s="133" customFormat="1" ht="24" customHeight="1" x14ac:dyDescent="0.25">
      <c r="A106" s="88">
        <v>102</v>
      </c>
      <c r="B106" s="76" t="s">
        <v>195</v>
      </c>
      <c r="C106" s="78" t="s">
        <v>262</v>
      </c>
      <c r="D106" s="170">
        <v>4</v>
      </c>
      <c r="E106" s="170">
        <v>14172</v>
      </c>
      <c r="F106" s="73">
        <v>3147126392</v>
      </c>
      <c r="G106" s="73"/>
      <c r="H106" s="74" t="s">
        <v>54</v>
      </c>
      <c r="I106" s="74" t="s">
        <v>13</v>
      </c>
      <c r="J106" s="74">
        <v>2026</v>
      </c>
      <c r="K106" s="9" t="s">
        <v>14</v>
      </c>
      <c r="L106" s="9"/>
      <c r="M106" s="78"/>
    </row>
    <row r="107" spans="1:13" s="69" customFormat="1" ht="24" x14ac:dyDescent="0.25">
      <c r="A107" s="19">
        <v>103</v>
      </c>
      <c r="B107" s="76" t="s">
        <v>241</v>
      </c>
      <c r="C107" s="78" t="s">
        <v>263</v>
      </c>
      <c r="D107" s="176">
        <v>1</v>
      </c>
      <c r="E107" s="176" t="s">
        <v>36</v>
      </c>
      <c r="F107" s="94">
        <v>37070000</v>
      </c>
      <c r="G107" s="94"/>
      <c r="H107" s="74" t="s">
        <v>87</v>
      </c>
      <c r="I107" s="74" t="s">
        <v>37</v>
      </c>
      <c r="J107" s="74">
        <v>2026</v>
      </c>
      <c r="K107" s="9" t="s">
        <v>14</v>
      </c>
      <c r="L107" s="9"/>
      <c r="M107" s="78"/>
    </row>
    <row r="108" spans="1:13" s="69" customFormat="1" ht="24" x14ac:dyDescent="0.2">
      <c r="A108" s="88">
        <v>104</v>
      </c>
      <c r="B108" s="76" t="s">
        <v>228</v>
      </c>
      <c r="C108" s="78" t="s">
        <v>283</v>
      </c>
      <c r="D108" s="170">
        <v>1</v>
      </c>
      <c r="E108" s="170">
        <v>88</v>
      </c>
      <c r="F108" s="73">
        <v>73489000</v>
      </c>
      <c r="G108" s="73"/>
      <c r="H108" s="131" t="s">
        <v>464</v>
      </c>
      <c r="I108" s="74" t="s">
        <v>13</v>
      </c>
      <c r="J108" s="74">
        <v>2026</v>
      </c>
      <c r="K108" s="9" t="s">
        <v>14</v>
      </c>
      <c r="L108" s="9"/>
      <c r="M108" s="78"/>
    </row>
    <row r="109" spans="1:13" s="69" customFormat="1" ht="24" x14ac:dyDescent="0.2">
      <c r="A109" s="19">
        <v>105</v>
      </c>
      <c r="B109" s="76" t="s">
        <v>249</v>
      </c>
      <c r="C109" s="78" t="s">
        <v>284</v>
      </c>
      <c r="D109" s="176">
        <v>2</v>
      </c>
      <c r="E109" s="176">
        <v>1008</v>
      </c>
      <c r="F109" s="94">
        <v>326180000</v>
      </c>
      <c r="G109" s="94"/>
      <c r="H109" s="132" t="s">
        <v>250</v>
      </c>
      <c r="I109" s="74" t="s">
        <v>37</v>
      </c>
      <c r="J109" s="74">
        <v>2026</v>
      </c>
      <c r="K109" s="9" t="s">
        <v>14</v>
      </c>
      <c r="L109" s="9"/>
      <c r="M109" s="78"/>
    </row>
    <row r="110" spans="1:13" s="114" customFormat="1" ht="24" x14ac:dyDescent="0.25">
      <c r="A110" s="88">
        <v>106</v>
      </c>
      <c r="B110" s="111">
        <v>22</v>
      </c>
      <c r="C110" s="116" t="s">
        <v>290</v>
      </c>
      <c r="D110" s="175">
        <v>3</v>
      </c>
      <c r="E110" s="174">
        <v>1032</v>
      </c>
      <c r="F110" s="117">
        <v>2352537000</v>
      </c>
      <c r="G110" s="117"/>
      <c r="H110" s="127" t="s">
        <v>164</v>
      </c>
      <c r="I110" s="107" t="s">
        <v>409</v>
      </c>
      <c r="J110" s="107">
        <v>2026</v>
      </c>
      <c r="K110" s="107" t="s">
        <v>440</v>
      </c>
      <c r="L110" s="107"/>
      <c r="M110" s="108"/>
    </row>
    <row r="111" spans="1:13" s="114" customFormat="1" ht="12" customHeight="1" x14ac:dyDescent="0.25">
      <c r="A111" s="19">
        <v>107</v>
      </c>
      <c r="B111" s="104">
        <v>27</v>
      </c>
      <c r="C111" s="108" t="s">
        <v>427</v>
      </c>
      <c r="D111" s="192">
        <v>10</v>
      </c>
      <c r="E111" s="177">
        <v>4879</v>
      </c>
      <c r="F111" s="120">
        <v>3617899200</v>
      </c>
      <c r="G111" s="120"/>
      <c r="H111" s="119" t="s">
        <v>329</v>
      </c>
      <c r="I111" s="107" t="s">
        <v>94</v>
      </c>
      <c r="J111" s="107">
        <v>2026</v>
      </c>
      <c r="K111" s="107" t="s">
        <v>437</v>
      </c>
      <c r="L111" s="107"/>
      <c r="M111" s="108"/>
    </row>
    <row r="112" spans="1:13" s="114" customFormat="1" ht="12" customHeight="1" x14ac:dyDescent="0.25">
      <c r="A112" s="88">
        <v>108</v>
      </c>
      <c r="B112" s="111" t="s">
        <v>406</v>
      </c>
      <c r="C112" s="108" t="s">
        <v>428</v>
      </c>
      <c r="D112" s="175">
        <v>4</v>
      </c>
      <c r="E112" s="174">
        <v>1690</v>
      </c>
      <c r="F112" s="117">
        <v>965904000</v>
      </c>
      <c r="G112" s="117"/>
      <c r="H112" s="107" t="s">
        <v>18</v>
      </c>
      <c r="I112" s="107" t="s">
        <v>94</v>
      </c>
      <c r="J112" s="107">
        <v>2026</v>
      </c>
      <c r="K112" s="107" t="s">
        <v>14</v>
      </c>
      <c r="L112" s="107"/>
      <c r="M112" s="108"/>
    </row>
    <row r="113" spans="1:13" s="110" customFormat="1" ht="24" x14ac:dyDescent="0.25">
      <c r="A113" s="19">
        <v>109</v>
      </c>
      <c r="B113" s="104">
        <v>30</v>
      </c>
      <c r="C113" s="108" t="s">
        <v>429</v>
      </c>
      <c r="D113" s="178">
        <v>3</v>
      </c>
      <c r="E113" s="178">
        <v>1302.73</v>
      </c>
      <c r="F113" s="121">
        <v>678357000</v>
      </c>
      <c r="G113" s="121"/>
      <c r="H113" s="119" t="s">
        <v>189</v>
      </c>
      <c r="I113" s="107" t="s">
        <v>409</v>
      </c>
      <c r="J113" s="107">
        <v>2026</v>
      </c>
      <c r="K113" s="107" t="s">
        <v>437</v>
      </c>
      <c r="L113" s="107"/>
      <c r="M113" s="116"/>
    </row>
    <row r="114" spans="1:13" s="69" customFormat="1" ht="24" customHeight="1" x14ac:dyDescent="0.25">
      <c r="A114" s="88">
        <v>110</v>
      </c>
      <c r="B114" s="76" t="s">
        <v>225</v>
      </c>
      <c r="C114" s="78" t="s">
        <v>291</v>
      </c>
      <c r="D114" s="170">
        <v>5</v>
      </c>
      <c r="E114" s="170">
        <v>2473</v>
      </c>
      <c r="F114" s="73"/>
      <c r="G114" s="73">
        <v>1217552000</v>
      </c>
      <c r="H114" s="74" t="s">
        <v>72</v>
      </c>
      <c r="I114" s="74" t="s">
        <v>13</v>
      </c>
      <c r="J114" s="74">
        <v>2026</v>
      </c>
      <c r="K114" s="9" t="s">
        <v>38</v>
      </c>
      <c r="L114" s="9"/>
      <c r="M114" s="78"/>
    </row>
    <row r="115" spans="1:13" s="69" customFormat="1" ht="24" x14ac:dyDescent="0.2">
      <c r="A115" s="19">
        <v>111</v>
      </c>
      <c r="B115" s="76" t="s">
        <v>226</v>
      </c>
      <c r="C115" s="78" t="s">
        <v>292</v>
      </c>
      <c r="D115" s="170">
        <v>8</v>
      </c>
      <c r="E115" s="170">
        <v>4376</v>
      </c>
      <c r="F115" s="73">
        <v>950653000</v>
      </c>
      <c r="G115" s="73"/>
      <c r="H115" s="131" t="s">
        <v>227</v>
      </c>
      <c r="I115" s="74" t="s">
        <v>13</v>
      </c>
      <c r="J115" s="74">
        <v>2026</v>
      </c>
      <c r="K115" s="9" t="s">
        <v>14</v>
      </c>
      <c r="L115" s="9"/>
      <c r="M115" s="78"/>
    </row>
    <row r="116" spans="1:13" s="69" customFormat="1" ht="24" x14ac:dyDescent="0.2">
      <c r="A116" s="88">
        <v>112</v>
      </c>
      <c r="B116" s="76" t="s">
        <v>229</v>
      </c>
      <c r="C116" s="93" t="s">
        <v>293</v>
      </c>
      <c r="D116" s="176">
        <v>5</v>
      </c>
      <c r="E116" s="176">
        <v>1162</v>
      </c>
      <c r="F116" s="94">
        <v>534339000</v>
      </c>
      <c r="G116" s="94"/>
      <c r="H116" s="134" t="s">
        <v>230</v>
      </c>
      <c r="I116" s="74" t="s">
        <v>37</v>
      </c>
      <c r="J116" s="74">
        <v>2026</v>
      </c>
      <c r="K116" s="9" t="s">
        <v>14</v>
      </c>
      <c r="L116" s="9"/>
      <c r="M116" s="78"/>
    </row>
    <row r="117" spans="1:13" s="69" customFormat="1" ht="24" x14ac:dyDescent="0.2">
      <c r="A117" s="19">
        <v>113</v>
      </c>
      <c r="B117" s="76" t="s">
        <v>246</v>
      </c>
      <c r="C117" s="93" t="s">
        <v>294</v>
      </c>
      <c r="D117" s="176">
        <v>5</v>
      </c>
      <c r="E117" s="176">
        <v>2352</v>
      </c>
      <c r="F117" s="94">
        <v>616976000</v>
      </c>
      <c r="G117" s="94"/>
      <c r="H117" s="131" t="s">
        <v>227</v>
      </c>
      <c r="I117" s="74" t="s">
        <v>13</v>
      </c>
      <c r="J117" s="74">
        <v>2026</v>
      </c>
      <c r="K117" s="9" t="s">
        <v>14</v>
      </c>
      <c r="L117" s="9"/>
      <c r="M117" s="78"/>
    </row>
    <row r="118" spans="1:13" s="69" customFormat="1" ht="24" x14ac:dyDescent="0.25">
      <c r="A118" s="88">
        <v>114</v>
      </c>
      <c r="B118" s="76" t="s">
        <v>251</v>
      </c>
      <c r="C118" s="78" t="s">
        <v>295</v>
      </c>
      <c r="D118" s="176">
        <v>1</v>
      </c>
      <c r="E118" s="176" t="s">
        <v>36</v>
      </c>
      <c r="F118" s="94">
        <v>134298240</v>
      </c>
      <c r="G118" s="94"/>
      <c r="H118" s="74" t="s">
        <v>87</v>
      </c>
      <c r="I118" s="74" t="s">
        <v>37</v>
      </c>
      <c r="J118" s="74">
        <v>2026</v>
      </c>
      <c r="K118" s="9" t="s">
        <v>14</v>
      </c>
      <c r="L118" s="9"/>
      <c r="M118" s="78"/>
    </row>
    <row r="119" spans="1:13" s="165" customFormat="1" ht="21" customHeight="1" x14ac:dyDescent="0.2">
      <c r="A119" s="19">
        <v>115</v>
      </c>
      <c r="B119" s="138" t="s">
        <v>271</v>
      </c>
      <c r="C119" s="138" t="s">
        <v>313</v>
      </c>
      <c r="D119" s="190">
        <v>6</v>
      </c>
      <c r="E119" s="171">
        <v>3273</v>
      </c>
      <c r="F119" s="139">
        <v>1815588000</v>
      </c>
      <c r="G119" s="139"/>
      <c r="H119" s="143" t="s">
        <v>179</v>
      </c>
      <c r="I119" s="141" t="s">
        <v>39</v>
      </c>
      <c r="J119" s="141">
        <v>2026</v>
      </c>
      <c r="K119" s="138" t="s">
        <v>14</v>
      </c>
      <c r="L119" s="141"/>
      <c r="M119" s="164"/>
    </row>
    <row r="120" spans="1:13" s="165" customFormat="1" ht="21" customHeight="1" x14ac:dyDescent="0.2">
      <c r="A120" s="88">
        <v>116</v>
      </c>
      <c r="B120" s="138" t="s">
        <v>258</v>
      </c>
      <c r="C120" s="138" t="s">
        <v>314</v>
      </c>
      <c r="D120" s="190">
        <v>6</v>
      </c>
      <c r="E120" s="171">
        <v>3580</v>
      </c>
      <c r="F120" s="139">
        <v>827904000</v>
      </c>
      <c r="G120" s="139"/>
      <c r="H120" s="143" t="s">
        <v>146</v>
      </c>
      <c r="I120" s="141" t="s">
        <v>39</v>
      </c>
      <c r="J120" s="141">
        <v>2026</v>
      </c>
      <c r="K120" s="138" t="s">
        <v>14</v>
      </c>
      <c r="L120" s="141"/>
      <c r="M120" s="164"/>
    </row>
    <row r="121" spans="1:13" s="110" customFormat="1" ht="24" x14ac:dyDescent="0.25">
      <c r="A121" s="19">
        <v>117</v>
      </c>
      <c r="B121" s="104">
        <v>29</v>
      </c>
      <c r="C121" s="108" t="s">
        <v>430</v>
      </c>
      <c r="D121" s="178">
        <v>10</v>
      </c>
      <c r="E121" s="178">
        <v>4350</v>
      </c>
      <c r="F121" s="121">
        <v>2263431000</v>
      </c>
      <c r="G121" s="121"/>
      <c r="H121" s="107" t="s">
        <v>323</v>
      </c>
      <c r="I121" s="107" t="s">
        <v>409</v>
      </c>
      <c r="J121" s="107">
        <v>2026</v>
      </c>
      <c r="K121" s="107" t="s">
        <v>439</v>
      </c>
      <c r="L121" s="107"/>
      <c r="M121" s="116"/>
    </row>
    <row r="122" spans="1:13" s="69" customFormat="1" ht="24" x14ac:dyDescent="0.2">
      <c r="A122" s="88">
        <v>118</v>
      </c>
      <c r="B122" s="76" t="s">
        <v>244</v>
      </c>
      <c r="C122" s="93" t="s">
        <v>318</v>
      </c>
      <c r="D122" s="176">
        <v>2</v>
      </c>
      <c r="E122" s="176">
        <v>692</v>
      </c>
      <c r="F122" s="94">
        <v>208653000</v>
      </c>
      <c r="G122" s="94"/>
      <c r="H122" s="131" t="s">
        <v>464</v>
      </c>
      <c r="I122" s="74" t="s">
        <v>13</v>
      </c>
      <c r="J122" s="74">
        <v>2026</v>
      </c>
      <c r="K122" s="9" t="s">
        <v>14</v>
      </c>
      <c r="L122" s="9"/>
      <c r="M122" s="78"/>
    </row>
    <row r="123" spans="1:13" s="69" customFormat="1" ht="24" x14ac:dyDescent="0.25">
      <c r="A123" s="19">
        <v>119</v>
      </c>
      <c r="B123" s="76" t="s">
        <v>253</v>
      </c>
      <c r="C123" s="93" t="s">
        <v>319</v>
      </c>
      <c r="D123" s="176">
        <v>1</v>
      </c>
      <c r="E123" s="176">
        <v>699</v>
      </c>
      <c r="F123" s="94">
        <v>336747000</v>
      </c>
      <c r="G123" s="94"/>
      <c r="H123" s="74" t="s">
        <v>57</v>
      </c>
      <c r="I123" s="74" t="s">
        <v>13</v>
      </c>
      <c r="J123" s="74">
        <v>2026</v>
      </c>
      <c r="K123" s="9" t="s">
        <v>14</v>
      </c>
      <c r="L123" s="9"/>
      <c r="M123" s="78"/>
    </row>
    <row r="124" spans="1:13" s="69" customFormat="1" ht="24" x14ac:dyDescent="0.25">
      <c r="A124" s="88">
        <v>120</v>
      </c>
      <c r="B124" s="76" t="s">
        <v>264</v>
      </c>
      <c r="C124" s="78" t="s">
        <v>320</v>
      </c>
      <c r="D124" s="176">
        <v>3</v>
      </c>
      <c r="E124" s="176">
        <v>1180</v>
      </c>
      <c r="F124" s="94">
        <v>520982000</v>
      </c>
      <c r="G124" s="94"/>
      <c r="H124" s="74" t="s">
        <v>265</v>
      </c>
      <c r="I124" s="74" t="s">
        <v>37</v>
      </c>
      <c r="J124" s="74">
        <v>2026</v>
      </c>
      <c r="K124" s="9" t="s">
        <v>14</v>
      </c>
      <c r="L124" s="9"/>
      <c r="M124" s="78"/>
    </row>
    <row r="125" spans="1:13" s="69" customFormat="1" x14ac:dyDescent="0.25">
      <c r="A125" s="19">
        <v>121</v>
      </c>
      <c r="B125" s="76" t="s">
        <v>285</v>
      </c>
      <c r="C125" s="93" t="s">
        <v>321</v>
      </c>
      <c r="D125" s="176">
        <v>1</v>
      </c>
      <c r="E125" s="176">
        <v>407</v>
      </c>
      <c r="F125" s="94">
        <v>440820000</v>
      </c>
      <c r="G125" s="94"/>
      <c r="H125" s="74" t="s">
        <v>286</v>
      </c>
      <c r="I125" s="135" t="s">
        <v>13</v>
      </c>
      <c r="J125" s="74">
        <v>2026</v>
      </c>
      <c r="K125" s="9" t="s">
        <v>14</v>
      </c>
      <c r="L125" s="9"/>
      <c r="M125" s="78"/>
    </row>
    <row r="126" spans="1:13" s="69" customFormat="1" ht="24" x14ac:dyDescent="0.2">
      <c r="A126" s="88">
        <v>122</v>
      </c>
      <c r="B126" s="76" t="s">
        <v>298</v>
      </c>
      <c r="C126" s="78" t="s">
        <v>322</v>
      </c>
      <c r="D126" s="176">
        <v>25</v>
      </c>
      <c r="E126" s="176">
        <v>12425</v>
      </c>
      <c r="F126" s="94">
        <v>4000787000</v>
      </c>
      <c r="G126" s="73"/>
      <c r="H126" s="132" t="s">
        <v>250</v>
      </c>
      <c r="I126" s="136" t="s">
        <v>37</v>
      </c>
      <c r="J126" s="136">
        <v>2026</v>
      </c>
      <c r="K126" s="137" t="s">
        <v>14</v>
      </c>
      <c r="L126" s="9"/>
      <c r="M126" s="78"/>
    </row>
    <row r="127" spans="1:13" s="114" customFormat="1" ht="12" customHeight="1" x14ac:dyDescent="0.25">
      <c r="A127" s="19">
        <v>123</v>
      </c>
      <c r="B127" s="111">
        <v>25</v>
      </c>
      <c r="C127" s="116" t="s">
        <v>327</v>
      </c>
      <c r="D127" s="175">
        <v>1</v>
      </c>
      <c r="E127" s="174">
        <v>424</v>
      </c>
      <c r="F127" s="117">
        <v>134067000</v>
      </c>
      <c r="G127" s="117"/>
      <c r="H127" s="119" t="s">
        <v>188</v>
      </c>
      <c r="I127" s="107" t="s">
        <v>37</v>
      </c>
      <c r="J127" s="107">
        <v>2026</v>
      </c>
      <c r="K127" s="107" t="s">
        <v>14</v>
      </c>
      <c r="L127" s="107"/>
      <c r="M127" s="108"/>
    </row>
    <row r="128" spans="1:13" s="110" customFormat="1" ht="24" x14ac:dyDescent="0.25">
      <c r="A128" s="88">
        <v>124</v>
      </c>
      <c r="B128" s="104">
        <v>28</v>
      </c>
      <c r="C128" s="116" t="s">
        <v>326</v>
      </c>
      <c r="D128" s="178">
        <v>12</v>
      </c>
      <c r="E128" s="178">
        <v>4770</v>
      </c>
      <c r="F128" s="121">
        <v>6932093000</v>
      </c>
      <c r="G128" s="121"/>
      <c r="H128" s="118" t="s">
        <v>231</v>
      </c>
      <c r="I128" s="107" t="s">
        <v>409</v>
      </c>
      <c r="J128" s="107">
        <v>2026</v>
      </c>
      <c r="K128" s="107" t="s">
        <v>437</v>
      </c>
      <c r="L128" s="107"/>
      <c r="M128" s="116"/>
    </row>
    <row r="129" spans="1:13" s="110" customFormat="1" ht="24" x14ac:dyDescent="0.25">
      <c r="A129" s="19">
        <v>125</v>
      </c>
      <c r="B129" s="104">
        <v>31</v>
      </c>
      <c r="C129" s="116" t="s">
        <v>325</v>
      </c>
      <c r="D129" s="178">
        <v>5</v>
      </c>
      <c r="E129" s="178">
        <v>2437</v>
      </c>
      <c r="F129" s="121">
        <v>1558073000</v>
      </c>
      <c r="G129" s="121"/>
      <c r="H129" s="119" t="s">
        <v>187</v>
      </c>
      <c r="I129" s="107" t="s">
        <v>409</v>
      </c>
      <c r="J129" s="107">
        <v>2026</v>
      </c>
      <c r="K129" s="107" t="s">
        <v>441</v>
      </c>
      <c r="L129" s="107"/>
      <c r="M129" s="116"/>
    </row>
    <row r="130" spans="1:13" s="165" customFormat="1" ht="21" customHeight="1" x14ac:dyDescent="0.2">
      <c r="A130" s="88">
        <v>126</v>
      </c>
      <c r="B130" s="138" t="s">
        <v>256</v>
      </c>
      <c r="C130" s="138" t="s">
        <v>330</v>
      </c>
      <c r="D130" s="190">
        <v>8</v>
      </c>
      <c r="E130" s="171">
        <v>3168.15</v>
      </c>
      <c r="F130" s="139">
        <v>1626331000</v>
      </c>
      <c r="G130" s="139"/>
      <c r="H130" s="143" t="s">
        <v>272</v>
      </c>
      <c r="I130" s="141" t="s">
        <v>39</v>
      </c>
      <c r="J130" s="141">
        <v>2026</v>
      </c>
      <c r="K130" s="138" t="s">
        <v>14</v>
      </c>
      <c r="L130" s="141"/>
      <c r="M130" s="164"/>
    </row>
    <row r="131" spans="1:13" s="165" customFormat="1" ht="21" customHeight="1" x14ac:dyDescent="0.2">
      <c r="A131" s="19">
        <v>127</v>
      </c>
      <c r="B131" s="138" t="s">
        <v>257</v>
      </c>
      <c r="C131" s="138" t="s">
        <v>331</v>
      </c>
      <c r="D131" s="190">
        <v>8</v>
      </c>
      <c r="E131" s="171">
        <v>5597</v>
      </c>
      <c r="F131" s="139">
        <v>798070000</v>
      </c>
      <c r="G131" s="139"/>
      <c r="H131" s="144" t="s">
        <v>60</v>
      </c>
      <c r="I131" s="141" t="s">
        <v>475</v>
      </c>
      <c r="J131" s="141">
        <v>2026</v>
      </c>
      <c r="K131" s="138" t="s">
        <v>14</v>
      </c>
      <c r="L131" s="141"/>
      <c r="M131" s="164"/>
    </row>
    <row r="132" spans="1:13" s="165" customFormat="1" ht="21" customHeight="1" x14ac:dyDescent="0.2">
      <c r="A132" s="88">
        <v>128</v>
      </c>
      <c r="B132" s="138" t="s">
        <v>273</v>
      </c>
      <c r="C132" s="138" t="s">
        <v>332</v>
      </c>
      <c r="D132" s="190">
        <v>1</v>
      </c>
      <c r="E132" s="171">
        <v>700</v>
      </c>
      <c r="F132" s="139">
        <v>1616761000</v>
      </c>
      <c r="G132" s="139"/>
      <c r="H132" s="143" t="s">
        <v>274</v>
      </c>
      <c r="I132" s="141" t="s">
        <v>275</v>
      </c>
      <c r="J132" s="141">
        <v>2026</v>
      </c>
      <c r="K132" s="138" t="s">
        <v>14</v>
      </c>
      <c r="L132" s="141"/>
      <c r="M132" s="164"/>
    </row>
    <row r="133" spans="1:13" s="165" customFormat="1" ht="21" customHeight="1" x14ac:dyDescent="0.2">
      <c r="A133" s="19">
        <v>129</v>
      </c>
      <c r="B133" s="138" t="s">
        <v>276</v>
      </c>
      <c r="C133" s="138" t="s">
        <v>333</v>
      </c>
      <c r="D133" s="190">
        <v>3</v>
      </c>
      <c r="E133" s="171">
        <v>1415</v>
      </c>
      <c r="F133" s="139">
        <v>592955000</v>
      </c>
      <c r="G133" s="139"/>
      <c r="H133" s="143" t="s">
        <v>277</v>
      </c>
      <c r="I133" s="141" t="s">
        <v>39</v>
      </c>
      <c r="J133" s="141">
        <v>2026</v>
      </c>
      <c r="K133" s="138" t="s">
        <v>14</v>
      </c>
      <c r="L133" s="141"/>
      <c r="M133" s="164"/>
    </row>
    <row r="134" spans="1:13" s="165" customFormat="1" ht="21" customHeight="1" x14ac:dyDescent="0.2">
      <c r="A134" s="88">
        <v>130</v>
      </c>
      <c r="B134" s="138" t="s">
        <v>278</v>
      </c>
      <c r="C134" s="138" t="s">
        <v>334</v>
      </c>
      <c r="D134" s="190">
        <v>2</v>
      </c>
      <c r="E134" s="171">
        <v>734</v>
      </c>
      <c r="F134" s="139">
        <v>536677000</v>
      </c>
      <c r="G134" s="139"/>
      <c r="H134" s="143" t="s">
        <v>279</v>
      </c>
      <c r="I134" s="141" t="s">
        <v>39</v>
      </c>
      <c r="J134" s="141">
        <v>2026</v>
      </c>
      <c r="K134" s="138" t="s">
        <v>14</v>
      </c>
      <c r="L134" s="141"/>
      <c r="M134" s="164"/>
    </row>
    <row r="135" spans="1:13" s="165" customFormat="1" ht="21" customHeight="1" x14ac:dyDescent="0.2">
      <c r="A135" s="19">
        <v>131</v>
      </c>
      <c r="B135" s="138" t="s">
        <v>280</v>
      </c>
      <c r="C135" s="138" t="s">
        <v>335</v>
      </c>
      <c r="D135" s="190">
        <v>4</v>
      </c>
      <c r="E135" s="171">
        <v>855</v>
      </c>
      <c r="F135" s="139">
        <v>1469674000</v>
      </c>
      <c r="G135" s="139"/>
      <c r="H135" s="144" t="s">
        <v>168</v>
      </c>
      <c r="I135" s="141" t="s">
        <v>479</v>
      </c>
      <c r="J135" s="141">
        <v>2026</v>
      </c>
      <c r="K135" s="138" t="s">
        <v>14</v>
      </c>
      <c r="L135" s="141"/>
      <c r="M135" s="164"/>
    </row>
    <row r="136" spans="1:13" s="165" customFormat="1" ht="21" customHeight="1" x14ac:dyDescent="0.2">
      <c r="A136" s="88">
        <v>132</v>
      </c>
      <c r="B136" s="138" t="s">
        <v>281</v>
      </c>
      <c r="C136" s="138" t="s">
        <v>336</v>
      </c>
      <c r="D136" s="190">
        <v>1</v>
      </c>
      <c r="E136" s="171">
        <v>409</v>
      </c>
      <c r="F136" s="139">
        <v>726253000</v>
      </c>
      <c r="G136" s="139"/>
      <c r="H136" s="144" t="s">
        <v>282</v>
      </c>
      <c r="I136" s="141" t="s">
        <v>99</v>
      </c>
      <c r="J136" s="141">
        <v>2026</v>
      </c>
      <c r="K136" s="138" t="s">
        <v>14</v>
      </c>
      <c r="L136" s="141"/>
      <c r="M136" s="164"/>
    </row>
    <row r="137" spans="1:13" s="165" customFormat="1" ht="21" customHeight="1" x14ac:dyDescent="0.2">
      <c r="A137" s="19">
        <v>133</v>
      </c>
      <c r="B137" s="138" t="s">
        <v>304</v>
      </c>
      <c r="C137" s="138" t="s">
        <v>337</v>
      </c>
      <c r="D137" s="190">
        <v>8</v>
      </c>
      <c r="E137" s="171">
        <v>3617</v>
      </c>
      <c r="F137" s="139">
        <v>3297894000</v>
      </c>
      <c r="G137" s="139"/>
      <c r="H137" s="144" t="s">
        <v>305</v>
      </c>
      <c r="I137" s="141" t="s">
        <v>476</v>
      </c>
      <c r="J137" s="141">
        <v>2026</v>
      </c>
      <c r="K137" s="138" t="s">
        <v>14</v>
      </c>
      <c r="L137" s="141"/>
      <c r="M137" s="164"/>
    </row>
    <row r="138" spans="1:13" s="165" customFormat="1" ht="21" customHeight="1" x14ac:dyDescent="0.2">
      <c r="A138" s="88">
        <v>134</v>
      </c>
      <c r="B138" s="138" t="s">
        <v>306</v>
      </c>
      <c r="C138" s="138" t="s">
        <v>338</v>
      </c>
      <c r="D138" s="190">
        <v>2</v>
      </c>
      <c r="E138" s="171">
        <v>883</v>
      </c>
      <c r="F138" s="139">
        <v>274543000</v>
      </c>
      <c r="G138" s="139"/>
      <c r="H138" s="144" t="s">
        <v>179</v>
      </c>
      <c r="I138" s="141" t="s">
        <v>39</v>
      </c>
      <c r="J138" s="141">
        <v>2026</v>
      </c>
      <c r="K138" s="138" t="s">
        <v>14</v>
      </c>
      <c r="L138" s="141"/>
      <c r="M138" s="164"/>
    </row>
    <row r="139" spans="1:13" s="69" customFormat="1" ht="24" x14ac:dyDescent="0.25">
      <c r="A139" s="19">
        <v>135</v>
      </c>
      <c r="B139" s="76" t="s">
        <v>248</v>
      </c>
      <c r="C139" s="78" t="s">
        <v>346</v>
      </c>
      <c r="D139" s="176">
        <v>1</v>
      </c>
      <c r="E139" s="176">
        <v>604</v>
      </c>
      <c r="F139" s="94">
        <v>107430702</v>
      </c>
      <c r="G139" s="94"/>
      <c r="H139" s="74" t="s">
        <v>87</v>
      </c>
      <c r="I139" s="74" t="s">
        <v>37</v>
      </c>
      <c r="J139" s="74">
        <v>2026</v>
      </c>
      <c r="K139" s="9" t="s">
        <v>14</v>
      </c>
      <c r="L139" s="9"/>
      <c r="M139" s="78"/>
    </row>
    <row r="140" spans="1:13" s="110" customFormat="1" x14ac:dyDescent="0.25">
      <c r="A140" s="88">
        <v>136</v>
      </c>
      <c r="B140" s="111" t="s">
        <v>407</v>
      </c>
      <c r="C140" s="116" t="s">
        <v>357</v>
      </c>
      <c r="D140" s="178">
        <v>1</v>
      </c>
      <c r="E140" s="178">
        <v>313</v>
      </c>
      <c r="F140" s="121">
        <v>3473323000</v>
      </c>
      <c r="G140" s="121"/>
      <c r="H140" s="107" t="s">
        <v>18</v>
      </c>
      <c r="I140" s="107" t="s">
        <v>94</v>
      </c>
      <c r="J140" s="107">
        <v>2026</v>
      </c>
      <c r="K140" s="107" t="s">
        <v>14</v>
      </c>
      <c r="L140" s="107"/>
      <c r="M140" s="116"/>
    </row>
    <row r="141" spans="1:13" s="110" customFormat="1" ht="24" x14ac:dyDescent="0.25">
      <c r="A141" s="19">
        <v>137</v>
      </c>
      <c r="B141" s="104">
        <v>32</v>
      </c>
      <c r="C141" s="116" t="s">
        <v>358</v>
      </c>
      <c r="D141" s="178">
        <v>14</v>
      </c>
      <c r="E141" s="178">
        <v>5378</v>
      </c>
      <c r="F141" s="121">
        <v>3224325000</v>
      </c>
      <c r="G141" s="121"/>
      <c r="H141" s="107" t="s">
        <v>323</v>
      </c>
      <c r="I141" s="107" t="s">
        <v>409</v>
      </c>
      <c r="J141" s="107">
        <v>2026</v>
      </c>
      <c r="K141" s="107" t="s">
        <v>439</v>
      </c>
      <c r="L141" s="107"/>
      <c r="M141" s="116"/>
    </row>
    <row r="142" spans="1:13" s="165" customFormat="1" ht="21" customHeight="1" x14ac:dyDescent="0.2">
      <c r="A142" s="88">
        <v>138</v>
      </c>
      <c r="B142" s="138" t="s">
        <v>307</v>
      </c>
      <c r="C142" s="138" t="s">
        <v>359</v>
      </c>
      <c r="D142" s="190">
        <v>6</v>
      </c>
      <c r="E142" s="171">
        <v>3315</v>
      </c>
      <c r="F142" s="139">
        <v>977222000</v>
      </c>
      <c r="G142" s="139"/>
      <c r="H142" s="144" t="s">
        <v>308</v>
      </c>
      <c r="I142" s="141" t="s">
        <v>479</v>
      </c>
      <c r="J142" s="141">
        <v>2026</v>
      </c>
      <c r="K142" s="138" t="s">
        <v>14</v>
      </c>
      <c r="L142" s="141"/>
      <c r="M142" s="164"/>
    </row>
    <row r="143" spans="1:13" s="165" customFormat="1" ht="21" customHeight="1" x14ac:dyDescent="0.2">
      <c r="A143" s="19">
        <v>139</v>
      </c>
      <c r="B143" s="138" t="s">
        <v>309</v>
      </c>
      <c r="C143" s="138" t="s">
        <v>360</v>
      </c>
      <c r="D143" s="190">
        <v>9</v>
      </c>
      <c r="E143" s="171">
        <v>5178</v>
      </c>
      <c r="F143" s="139">
        <v>1831009000</v>
      </c>
      <c r="G143" s="139"/>
      <c r="H143" s="144" t="s">
        <v>310</v>
      </c>
      <c r="I143" s="141" t="s">
        <v>39</v>
      </c>
      <c r="J143" s="141">
        <v>2026</v>
      </c>
      <c r="K143" s="138" t="s">
        <v>14</v>
      </c>
      <c r="L143" s="141"/>
      <c r="M143" s="164"/>
    </row>
    <row r="144" spans="1:13" s="165" customFormat="1" ht="21" customHeight="1" x14ac:dyDescent="0.2">
      <c r="A144" s="88">
        <v>140</v>
      </c>
      <c r="B144" s="138" t="s">
        <v>311</v>
      </c>
      <c r="C144" s="138" t="s">
        <v>361</v>
      </c>
      <c r="D144" s="190">
        <v>4</v>
      </c>
      <c r="E144" s="171">
        <v>1238</v>
      </c>
      <c r="F144" s="139">
        <v>3669782000</v>
      </c>
      <c r="G144" s="139"/>
      <c r="H144" s="144" t="s">
        <v>481</v>
      </c>
      <c r="I144" s="141" t="s">
        <v>479</v>
      </c>
      <c r="J144" s="141">
        <v>2026</v>
      </c>
      <c r="K144" s="138" t="s">
        <v>14</v>
      </c>
      <c r="L144" s="141"/>
      <c r="M144" s="164"/>
    </row>
    <row r="145" spans="1:13" s="165" customFormat="1" ht="21" customHeight="1" x14ac:dyDescent="0.2">
      <c r="A145" s="19">
        <v>141</v>
      </c>
      <c r="B145" s="138" t="s">
        <v>312</v>
      </c>
      <c r="C145" s="138" t="s">
        <v>362</v>
      </c>
      <c r="D145" s="190">
        <v>2</v>
      </c>
      <c r="E145" s="171">
        <v>1036</v>
      </c>
      <c r="F145" s="139">
        <v>325890000</v>
      </c>
      <c r="G145" s="139"/>
      <c r="H145" s="144" t="s">
        <v>482</v>
      </c>
      <c r="I145" s="141" t="s">
        <v>39</v>
      </c>
      <c r="J145" s="141">
        <v>2026</v>
      </c>
      <c r="K145" s="138" t="s">
        <v>14</v>
      </c>
      <c r="L145" s="141"/>
      <c r="M145" s="164"/>
    </row>
    <row r="146" spans="1:13" s="110" customFormat="1" x14ac:dyDescent="0.25">
      <c r="A146" s="88">
        <v>142</v>
      </c>
      <c r="B146" s="104">
        <v>33</v>
      </c>
      <c r="C146" s="116" t="s">
        <v>445</v>
      </c>
      <c r="D146" s="178">
        <v>12</v>
      </c>
      <c r="E146" s="178">
        <v>5505.2</v>
      </c>
      <c r="F146" s="121">
        <v>4161809000</v>
      </c>
      <c r="G146" s="121"/>
      <c r="H146" s="119" t="s">
        <v>329</v>
      </c>
      <c r="I146" s="107" t="s">
        <v>94</v>
      </c>
      <c r="J146" s="107">
        <v>2026</v>
      </c>
      <c r="K146" s="107" t="s">
        <v>437</v>
      </c>
      <c r="L146" s="107"/>
      <c r="M146" s="116"/>
    </row>
    <row r="147" spans="1:13" s="114" customFormat="1" ht="24" x14ac:dyDescent="0.25">
      <c r="A147" s="19">
        <v>143</v>
      </c>
      <c r="B147" s="104">
        <v>35</v>
      </c>
      <c r="C147" s="116" t="s">
        <v>447</v>
      </c>
      <c r="D147" s="175">
        <v>8</v>
      </c>
      <c r="E147" s="174">
        <v>3540</v>
      </c>
      <c r="F147" s="117">
        <v>1900705000</v>
      </c>
      <c r="G147" s="117"/>
      <c r="H147" s="115" t="s">
        <v>316</v>
      </c>
      <c r="I147" s="107" t="s">
        <v>409</v>
      </c>
      <c r="J147" s="107">
        <v>2026</v>
      </c>
      <c r="K147" s="107" t="s">
        <v>437</v>
      </c>
      <c r="L147" s="107"/>
      <c r="M147" s="108"/>
    </row>
    <row r="148" spans="1:13" s="114" customFormat="1" ht="12" customHeight="1" x14ac:dyDescent="0.25">
      <c r="A148" s="88">
        <v>144</v>
      </c>
      <c r="B148" s="104" t="s">
        <v>317</v>
      </c>
      <c r="C148" s="116" t="s">
        <v>446</v>
      </c>
      <c r="D148" s="175">
        <v>4</v>
      </c>
      <c r="E148" s="174">
        <v>1821</v>
      </c>
      <c r="F148" s="117">
        <v>1593117000</v>
      </c>
      <c r="G148" s="117"/>
      <c r="H148" s="107" t="s">
        <v>18</v>
      </c>
      <c r="I148" s="107" t="s">
        <v>94</v>
      </c>
      <c r="J148" s="107">
        <v>2026</v>
      </c>
      <c r="K148" s="107" t="s">
        <v>14</v>
      </c>
      <c r="L148" s="107"/>
      <c r="M148" s="108"/>
    </row>
    <row r="149" spans="1:13" s="114" customFormat="1" ht="12" customHeight="1" x14ac:dyDescent="0.25">
      <c r="A149" s="19">
        <v>145</v>
      </c>
      <c r="B149" s="104">
        <v>36</v>
      </c>
      <c r="C149" s="116" t="s">
        <v>448</v>
      </c>
      <c r="D149" s="175">
        <v>2</v>
      </c>
      <c r="E149" s="174">
        <v>334.90999999999997</v>
      </c>
      <c r="F149" s="117">
        <v>1193407000</v>
      </c>
      <c r="G149" s="117"/>
      <c r="H149" s="115" t="s">
        <v>164</v>
      </c>
      <c r="I149" s="107" t="s">
        <v>409</v>
      </c>
      <c r="J149" s="107">
        <v>2026</v>
      </c>
      <c r="K149" s="128" t="s">
        <v>440</v>
      </c>
      <c r="L149" s="107"/>
      <c r="M149" s="108"/>
    </row>
    <row r="150" spans="1:13" s="114" customFormat="1" ht="24" x14ac:dyDescent="0.25">
      <c r="A150" s="88">
        <v>146</v>
      </c>
      <c r="B150" s="104">
        <v>38</v>
      </c>
      <c r="C150" s="116" t="s">
        <v>449</v>
      </c>
      <c r="D150" s="175">
        <v>9</v>
      </c>
      <c r="E150" s="174">
        <v>3964</v>
      </c>
      <c r="F150" s="117">
        <v>2204106000</v>
      </c>
      <c r="G150" s="117"/>
      <c r="H150" s="115" t="s">
        <v>316</v>
      </c>
      <c r="I150" s="107" t="s">
        <v>409</v>
      </c>
      <c r="J150" s="107">
        <v>2026</v>
      </c>
      <c r="K150" s="107" t="s">
        <v>437</v>
      </c>
      <c r="L150" s="107"/>
      <c r="M150" s="108"/>
    </row>
    <row r="151" spans="1:13" s="69" customFormat="1" ht="24" x14ac:dyDescent="0.25">
      <c r="A151" s="19">
        <v>147</v>
      </c>
      <c r="B151" s="76" t="s">
        <v>301</v>
      </c>
      <c r="C151" s="93" t="s">
        <v>373</v>
      </c>
      <c r="D151" s="176">
        <v>3</v>
      </c>
      <c r="E151" s="176">
        <v>1205</v>
      </c>
      <c r="F151" s="94"/>
      <c r="G151" s="94">
        <v>531472000</v>
      </c>
      <c r="H151" s="74" t="s">
        <v>72</v>
      </c>
      <c r="I151" s="74" t="s">
        <v>13</v>
      </c>
      <c r="J151" s="74">
        <v>2026</v>
      </c>
      <c r="K151" s="9" t="s">
        <v>38</v>
      </c>
      <c r="L151" s="9"/>
      <c r="M151" s="78"/>
    </row>
    <row r="152" spans="1:13" s="69" customFormat="1" ht="24" x14ac:dyDescent="0.2">
      <c r="A152" s="88">
        <v>148</v>
      </c>
      <c r="B152" s="76" t="s">
        <v>302</v>
      </c>
      <c r="C152" s="93" t="s">
        <v>374</v>
      </c>
      <c r="D152" s="176">
        <v>1</v>
      </c>
      <c r="E152" s="176">
        <v>79</v>
      </c>
      <c r="F152" s="94">
        <v>11852000</v>
      </c>
      <c r="G152" s="94"/>
      <c r="H152" s="131" t="s">
        <v>227</v>
      </c>
      <c r="I152" s="74" t="s">
        <v>13</v>
      </c>
      <c r="J152" s="74">
        <v>2026</v>
      </c>
      <c r="K152" s="9" t="s">
        <v>14</v>
      </c>
      <c r="L152" s="9"/>
      <c r="M152" s="78"/>
    </row>
    <row r="153" spans="1:13" s="69" customFormat="1" x14ac:dyDescent="0.25">
      <c r="A153" s="19">
        <v>149</v>
      </c>
      <c r="B153" s="76" t="s">
        <v>296</v>
      </c>
      <c r="C153" s="78" t="s">
        <v>375</v>
      </c>
      <c r="D153" s="176">
        <v>4</v>
      </c>
      <c r="E153" s="176">
        <v>1119</v>
      </c>
      <c r="F153" s="94">
        <v>1518282000</v>
      </c>
      <c r="G153" s="94"/>
      <c r="H153" s="74" t="s">
        <v>286</v>
      </c>
      <c r="I153" s="135" t="s">
        <v>13</v>
      </c>
      <c r="J153" s="74">
        <v>2026</v>
      </c>
      <c r="K153" s="9" t="s">
        <v>14</v>
      </c>
      <c r="L153" s="9"/>
      <c r="M153" s="78"/>
    </row>
    <row r="154" spans="1:13" s="69" customFormat="1" ht="24" x14ac:dyDescent="0.2">
      <c r="A154" s="88">
        <v>150</v>
      </c>
      <c r="B154" s="76" t="s">
        <v>299</v>
      </c>
      <c r="C154" s="78" t="s">
        <v>376</v>
      </c>
      <c r="D154" s="176">
        <v>5</v>
      </c>
      <c r="E154" s="176">
        <v>2263</v>
      </c>
      <c r="F154" s="94">
        <v>409006000</v>
      </c>
      <c r="G154" s="73"/>
      <c r="H154" s="131" t="s">
        <v>227</v>
      </c>
      <c r="I154" s="74" t="s">
        <v>13</v>
      </c>
      <c r="J154" s="74">
        <v>2026</v>
      </c>
      <c r="K154" s="9" t="s">
        <v>14</v>
      </c>
      <c r="L154" s="9"/>
      <c r="M154" s="78"/>
    </row>
    <row r="155" spans="1:13" s="69" customFormat="1" x14ac:dyDescent="0.25">
      <c r="A155" s="19">
        <v>151</v>
      </c>
      <c r="B155" s="76" t="s">
        <v>254</v>
      </c>
      <c r="C155" s="93" t="s">
        <v>377</v>
      </c>
      <c r="D155" s="176">
        <v>5</v>
      </c>
      <c r="E155" s="176">
        <v>1500</v>
      </c>
      <c r="F155" s="94">
        <v>824903000</v>
      </c>
      <c r="G155" s="94"/>
      <c r="H155" s="74" t="s">
        <v>255</v>
      </c>
      <c r="I155" s="74" t="s">
        <v>13</v>
      </c>
      <c r="J155" s="74">
        <v>2026</v>
      </c>
      <c r="K155" s="9" t="s">
        <v>14</v>
      </c>
      <c r="L155" s="9"/>
      <c r="M155" s="78"/>
    </row>
    <row r="156" spans="1:13" s="69" customFormat="1" ht="24" x14ac:dyDescent="0.2">
      <c r="A156" s="88">
        <v>152</v>
      </c>
      <c r="B156" s="76" t="s">
        <v>252</v>
      </c>
      <c r="C156" s="93" t="s">
        <v>378</v>
      </c>
      <c r="D156" s="176">
        <v>6</v>
      </c>
      <c r="E156" s="176">
        <v>1902</v>
      </c>
      <c r="F156" s="94">
        <v>519702000</v>
      </c>
      <c r="G156" s="94"/>
      <c r="H156" s="131" t="s">
        <v>227</v>
      </c>
      <c r="I156" s="74" t="s">
        <v>13</v>
      </c>
      <c r="J156" s="74">
        <v>2026</v>
      </c>
      <c r="K156" s="9" t="s">
        <v>14</v>
      </c>
      <c r="L156" s="9"/>
      <c r="M156" s="78"/>
    </row>
    <row r="157" spans="1:13" s="69" customFormat="1" ht="24" x14ac:dyDescent="0.2">
      <c r="A157" s="19">
        <v>153</v>
      </c>
      <c r="B157" s="76" t="s">
        <v>300</v>
      </c>
      <c r="C157" s="93" t="s">
        <v>379</v>
      </c>
      <c r="D157" s="170">
        <v>1</v>
      </c>
      <c r="E157" s="170">
        <v>582</v>
      </c>
      <c r="F157" s="94">
        <v>198909000</v>
      </c>
      <c r="G157" s="94"/>
      <c r="H157" s="134" t="s">
        <v>230</v>
      </c>
      <c r="I157" s="74" t="s">
        <v>37</v>
      </c>
      <c r="J157" s="74">
        <v>2026</v>
      </c>
      <c r="K157" s="9" t="s">
        <v>14</v>
      </c>
      <c r="L157" s="9"/>
      <c r="M157" s="78"/>
    </row>
    <row r="158" spans="1:13" s="69" customFormat="1" x14ac:dyDescent="0.25">
      <c r="A158" s="88">
        <v>154</v>
      </c>
      <c r="B158" s="76" t="s">
        <v>245</v>
      </c>
      <c r="C158" s="93" t="s">
        <v>380</v>
      </c>
      <c r="D158" s="176">
        <v>9</v>
      </c>
      <c r="E158" s="176">
        <v>2389</v>
      </c>
      <c r="F158" s="94">
        <v>1851404000</v>
      </c>
      <c r="G158" s="94"/>
      <c r="H158" s="74" t="s">
        <v>247</v>
      </c>
      <c r="I158" s="74" t="s">
        <v>13</v>
      </c>
      <c r="J158" s="74">
        <v>2026</v>
      </c>
      <c r="K158" s="9" t="s">
        <v>14</v>
      </c>
      <c r="L158" s="9"/>
      <c r="M158" s="78"/>
    </row>
    <row r="159" spans="1:13" s="69" customFormat="1" ht="24" x14ac:dyDescent="0.25">
      <c r="A159" s="19">
        <v>155</v>
      </c>
      <c r="B159" s="76" t="s">
        <v>289</v>
      </c>
      <c r="C159" s="93" t="s">
        <v>381</v>
      </c>
      <c r="D159" s="176">
        <v>1</v>
      </c>
      <c r="E159" s="176">
        <v>367</v>
      </c>
      <c r="F159" s="94">
        <v>2213348000</v>
      </c>
      <c r="G159" s="94"/>
      <c r="H159" s="74" t="s">
        <v>87</v>
      </c>
      <c r="I159" s="74" t="s">
        <v>37</v>
      </c>
      <c r="J159" s="74">
        <v>2026</v>
      </c>
      <c r="K159" s="9" t="s">
        <v>14</v>
      </c>
      <c r="L159" s="9"/>
      <c r="M159" s="78"/>
    </row>
    <row r="160" spans="1:13" s="69" customFormat="1" ht="24" x14ac:dyDescent="0.25">
      <c r="A160" s="88">
        <v>156</v>
      </c>
      <c r="B160" s="76" t="s">
        <v>287</v>
      </c>
      <c r="C160" s="93" t="s">
        <v>382</v>
      </c>
      <c r="D160" s="176">
        <v>3</v>
      </c>
      <c r="E160" s="176">
        <v>2099</v>
      </c>
      <c r="F160" s="94">
        <v>1487976000</v>
      </c>
      <c r="G160" s="94"/>
      <c r="H160" s="74" t="s">
        <v>288</v>
      </c>
      <c r="I160" s="74" t="s">
        <v>37</v>
      </c>
      <c r="J160" s="74">
        <v>2026</v>
      </c>
      <c r="K160" s="9" t="s">
        <v>14</v>
      </c>
      <c r="L160" s="9"/>
      <c r="M160" s="78"/>
    </row>
    <row r="161" spans="1:13" s="114" customFormat="1" ht="24" x14ac:dyDescent="0.25">
      <c r="A161" s="19">
        <v>157</v>
      </c>
      <c r="B161" s="104">
        <v>34</v>
      </c>
      <c r="C161" s="116" t="s">
        <v>450</v>
      </c>
      <c r="D161" s="175">
        <v>1</v>
      </c>
      <c r="E161" s="174">
        <v>520</v>
      </c>
      <c r="F161" s="117">
        <v>523805000</v>
      </c>
      <c r="G161" s="117"/>
      <c r="H161" s="115" t="s">
        <v>315</v>
      </c>
      <c r="I161" s="107" t="s">
        <v>94</v>
      </c>
      <c r="J161" s="107">
        <v>2026</v>
      </c>
      <c r="K161" s="107" t="s">
        <v>14</v>
      </c>
      <c r="L161" s="107"/>
      <c r="M161" s="108"/>
    </row>
    <row r="162" spans="1:13" s="114" customFormat="1" ht="24" x14ac:dyDescent="0.25">
      <c r="A162" s="88">
        <v>158</v>
      </c>
      <c r="B162" s="104">
        <v>37</v>
      </c>
      <c r="C162" s="116" t="s">
        <v>451</v>
      </c>
      <c r="D162" s="175">
        <v>4</v>
      </c>
      <c r="E162" s="174">
        <v>1702</v>
      </c>
      <c r="F162" s="117">
        <v>1346715000</v>
      </c>
      <c r="G162" s="117"/>
      <c r="H162" s="119" t="s">
        <v>189</v>
      </c>
      <c r="I162" s="107" t="s">
        <v>409</v>
      </c>
      <c r="J162" s="107">
        <v>2026</v>
      </c>
      <c r="K162" s="107" t="s">
        <v>437</v>
      </c>
      <c r="L162" s="118"/>
      <c r="M162" s="109"/>
    </row>
    <row r="163" spans="1:13" s="153" customFormat="1" ht="12" customHeight="1" x14ac:dyDescent="0.25">
      <c r="A163" s="19">
        <v>159</v>
      </c>
      <c r="B163" s="138" t="s">
        <v>340</v>
      </c>
      <c r="C163" s="138" t="s">
        <v>484</v>
      </c>
      <c r="D163" s="190">
        <v>13</v>
      </c>
      <c r="E163" s="171">
        <v>8493</v>
      </c>
      <c r="F163" s="139">
        <v>379602400</v>
      </c>
      <c r="G163" s="139"/>
      <c r="H163" s="143" t="s">
        <v>60</v>
      </c>
      <c r="I163" s="141" t="s">
        <v>475</v>
      </c>
      <c r="J163" s="141">
        <v>2026</v>
      </c>
      <c r="K163" s="138" t="s">
        <v>14</v>
      </c>
      <c r="L163" s="141"/>
      <c r="M163" s="138"/>
    </row>
    <row r="164" spans="1:13" s="165" customFormat="1" ht="21" customHeight="1" x14ac:dyDescent="0.2">
      <c r="A164" s="88">
        <v>160</v>
      </c>
      <c r="B164" s="138" t="s">
        <v>369</v>
      </c>
      <c r="C164" s="154" t="s">
        <v>483</v>
      </c>
      <c r="D164" s="193">
        <v>6</v>
      </c>
      <c r="E164" s="179">
        <v>3620</v>
      </c>
      <c r="F164" s="155">
        <v>3502325900</v>
      </c>
      <c r="G164" s="156"/>
      <c r="H164" s="143" t="s">
        <v>370</v>
      </c>
      <c r="I164" s="141" t="s">
        <v>39</v>
      </c>
      <c r="J164" s="141">
        <v>2026</v>
      </c>
      <c r="K164" s="138" t="s">
        <v>14</v>
      </c>
      <c r="L164" s="141"/>
      <c r="M164" s="164"/>
    </row>
    <row r="165" spans="1:13" s="114" customFormat="1" ht="19.5" customHeight="1" x14ac:dyDescent="0.25">
      <c r="A165" s="19">
        <v>161</v>
      </c>
      <c r="B165" s="104" t="s">
        <v>328</v>
      </c>
      <c r="C165" s="116" t="s">
        <v>498</v>
      </c>
      <c r="D165" s="175">
        <v>2</v>
      </c>
      <c r="E165" s="174">
        <v>818.37</v>
      </c>
      <c r="F165" s="117">
        <v>942294000</v>
      </c>
      <c r="G165" s="117"/>
      <c r="H165" s="107" t="s">
        <v>18</v>
      </c>
      <c r="I165" s="107" t="s">
        <v>94</v>
      </c>
      <c r="J165" s="107">
        <v>2026</v>
      </c>
      <c r="K165" s="128" t="s">
        <v>14</v>
      </c>
      <c r="L165" s="107"/>
      <c r="M165" s="108"/>
    </row>
    <row r="166" spans="1:13" s="69" customFormat="1" x14ac:dyDescent="0.25">
      <c r="A166" s="88">
        <v>162</v>
      </c>
      <c r="B166" s="76" t="s">
        <v>352</v>
      </c>
      <c r="C166" s="78" t="s">
        <v>504</v>
      </c>
      <c r="D166" s="176">
        <v>1</v>
      </c>
      <c r="E166" s="176">
        <v>32</v>
      </c>
      <c r="F166" s="94">
        <v>96256000</v>
      </c>
      <c r="G166" s="94"/>
      <c r="H166" s="74" t="s">
        <v>353</v>
      </c>
      <c r="I166" s="74" t="s">
        <v>13</v>
      </c>
      <c r="J166" s="74">
        <v>2026</v>
      </c>
      <c r="K166" s="9" t="s">
        <v>14</v>
      </c>
      <c r="L166" s="9" t="s">
        <v>471</v>
      </c>
      <c r="M166" s="78" t="s">
        <v>384</v>
      </c>
    </row>
    <row r="167" spans="1:13" s="69" customFormat="1" ht="24" x14ac:dyDescent="0.25">
      <c r="A167" s="19">
        <v>163</v>
      </c>
      <c r="B167" s="76" t="s">
        <v>383</v>
      </c>
      <c r="C167" s="78" t="s">
        <v>505</v>
      </c>
      <c r="D167" s="176">
        <v>1</v>
      </c>
      <c r="E167" s="176" t="s">
        <v>36</v>
      </c>
      <c r="F167" s="94">
        <v>607075000</v>
      </c>
      <c r="G167" s="94"/>
      <c r="H167" s="74" t="s">
        <v>87</v>
      </c>
      <c r="I167" s="74" t="s">
        <v>37</v>
      </c>
      <c r="J167" s="74">
        <v>2026</v>
      </c>
      <c r="K167" s="9" t="s">
        <v>14</v>
      </c>
      <c r="L167" s="9" t="s">
        <v>471</v>
      </c>
      <c r="M167" s="78" t="s">
        <v>384</v>
      </c>
    </row>
    <row r="168" spans="1:13" s="165" customFormat="1" ht="26.25" customHeight="1" x14ac:dyDescent="0.2">
      <c r="A168" s="88">
        <v>164</v>
      </c>
      <c r="B168" s="138" t="s">
        <v>365</v>
      </c>
      <c r="C168" s="138" t="s">
        <v>506</v>
      </c>
      <c r="D168" s="190">
        <v>2</v>
      </c>
      <c r="E168" s="171">
        <v>1194</v>
      </c>
      <c r="F168" s="149">
        <v>525701000</v>
      </c>
      <c r="G168" s="139"/>
      <c r="H168" s="143" t="s">
        <v>179</v>
      </c>
      <c r="I168" s="141" t="s">
        <v>39</v>
      </c>
      <c r="J168" s="141">
        <v>2026</v>
      </c>
      <c r="K168" s="138" t="s">
        <v>14</v>
      </c>
      <c r="L168" s="141" t="s">
        <v>490</v>
      </c>
      <c r="M168" s="164" t="s">
        <v>491</v>
      </c>
    </row>
    <row r="169" spans="1:13" s="165" customFormat="1" ht="24.75" customHeight="1" x14ac:dyDescent="0.2">
      <c r="A169" s="19">
        <v>165</v>
      </c>
      <c r="B169" s="138" t="s">
        <v>344</v>
      </c>
      <c r="C169" s="138" t="s">
        <v>507</v>
      </c>
      <c r="D169" s="190">
        <v>2</v>
      </c>
      <c r="E169" s="171">
        <v>1016</v>
      </c>
      <c r="F169" s="151">
        <v>365427000</v>
      </c>
      <c r="G169" s="139"/>
      <c r="H169" s="143" t="s">
        <v>148</v>
      </c>
      <c r="I169" s="141" t="s">
        <v>39</v>
      </c>
      <c r="J169" s="141">
        <v>2026</v>
      </c>
      <c r="K169" s="138" t="s">
        <v>14</v>
      </c>
      <c r="L169" s="141" t="s">
        <v>453</v>
      </c>
      <c r="M169" s="164" t="s">
        <v>491</v>
      </c>
    </row>
    <row r="170" spans="1:13" s="165" customFormat="1" ht="23.25" customHeight="1" x14ac:dyDescent="0.2">
      <c r="A170" s="88">
        <v>166</v>
      </c>
      <c r="B170" s="138" t="s">
        <v>341</v>
      </c>
      <c r="C170" s="138" t="s">
        <v>508</v>
      </c>
      <c r="D170" s="190">
        <v>1</v>
      </c>
      <c r="E170" s="171">
        <v>664</v>
      </c>
      <c r="F170" s="150">
        <v>581469000</v>
      </c>
      <c r="G170" s="139"/>
      <c r="H170" s="144" t="s">
        <v>305</v>
      </c>
      <c r="I170" s="141" t="s">
        <v>476</v>
      </c>
      <c r="J170" s="141">
        <v>2026</v>
      </c>
      <c r="K170" s="138" t="s">
        <v>14</v>
      </c>
      <c r="L170" s="141" t="s">
        <v>453</v>
      </c>
      <c r="M170" s="164" t="s">
        <v>491</v>
      </c>
    </row>
    <row r="171" spans="1:13" s="165" customFormat="1" ht="24" customHeight="1" x14ac:dyDescent="0.2">
      <c r="A171" s="19">
        <v>167</v>
      </c>
      <c r="B171" s="138" t="s">
        <v>363</v>
      </c>
      <c r="C171" s="138" t="s">
        <v>509</v>
      </c>
      <c r="D171" s="190">
        <v>2</v>
      </c>
      <c r="E171" s="180">
        <v>1090</v>
      </c>
      <c r="F171" s="147" t="s">
        <v>486</v>
      </c>
      <c r="G171" s="139"/>
      <c r="H171" s="143" t="s">
        <v>395</v>
      </c>
      <c r="I171" s="141" t="s">
        <v>479</v>
      </c>
      <c r="J171" s="141">
        <v>2026</v>
      </c>
      <c r="K171" s="138" t="s">
        <v>14</v>
      </c>
      <c r="L171" s="141" t="s">
        <v>490</v>
      </c>
      <c r="M171" s="164" t="s">
        <v>491</v>
      </c>
    </row>
    <row r="172" spans="1:13" s="165" customFormat="1" ht="25.5" customHeight="1" x14ac:dyDescent="0.2">
      <c r="A172" s="88">
        <v>168</v>
      </c>
      <c r="B172" s="138" t="s">
        <v>343</v>
      </c>
      <c r="C172" s="138" t="s">
        <v>510</v>
      </c>
      <c r="D172" s="190">
        <v>2</v>
      </c>
      <c r="E172" s="171">
        <v>700</v>
      </c>
      <c r="F172" s="148">
        <v>539808000</v>
      </c>
      <c r="G172" s="139"/>
      <c r="H172" s="143" t="s">
        <v>104</v>
      </c>
      <c r="I172" s="141" t="s">
        <v>39</v>
      </c>
      <c r="J172" s="141">
        <v>2026</v>
      </c>
      <c r="K172" s="138" t="s">
        <v>14</v>
      </c>
      <c r="L172" s="141" t="s">
        <v>453</v>
      </c>
      <c r="M172" s="164" t="s">
        <v>491</v>
      </c>
    </row>
    <row r="173" spans="1:13" s="165" customFormat="1" ht="27.75" customHeight="1" x14ac:dyDescent="0.2">
      <c r="A173" s="19">
        <v>169</v>
      </c>
      <c r="B173" s="138" t="s">
        <v>367</v>
      </c>
      <c r="C173" s="138" t="s">
        <v>511</v>
      </c>
      <c r="D173" s="190">
        <v>1</v>
      </c>
      <c r="E173" s="182">
        <v>1164</v>
      </c>
      <c r="F173" s="145">
        <v>1214434000</v>
      </c>
      <c r="G173" s="139"/>
      <c r="H173" s="143" t="s">
        <v>368</v>
      </c>
      <c r="I173" s="141" t="s">
        <v>39</v>
      </c>
      <c r="J173" s="141">
        <v>2026</v>
      </c>
      <c r="K173" s="138" t="s">
        <v>487</v>
      </c>
      <c r="L173" s="141" t="s">
        <v>490</v>
      </c>
      <c r="M173" s="164" t="s">
        <v>491</v>
      </c>
    </row>
    <row r="174" spans="1:13" s="165" customFormat="1" ht="25.5" customHeight="1" x14ac:dyDescent="0.2">
      <c r="A174" s="88">
        <v>170</v>
      </c>
      <c r="B174" s="138" t="s">
        <v>342</v>
      </c>
      <c r="C174" s="138" t="s">
        <v>512</v>
      </c>
      <c r="D174" s="190">
        <v>2</v>
      </c>
      <c r="E174" s="171">
        <v>798</v>
      </c>
      <c r="F174" s="148">
        <v>363618000</v>
      </c>
      <c r="G174" s="139"/>
      <c r="H174" s="143" t="s">
        <v>104</v>
      </c>
      <c r="I174" s="141" t="s">
        <v>39</v>
      </c>
      <c r="J174" s="141">
        <v>2026</v>
      </c>
      <c r="K174" s="138" t="s">
        <v>14</v>
      </c>
      <c r="L174" s="141" t="s">
        <v>453</v>
      </c>
      <c r="M174" s="164" t="s">
        <v>491</v>
      </c>
    </row>
    <row r="175" spans="1:13" s="165" customFormat="1" ht="24.75" customHeight="1" x14ac:dyDescent="0.2">
      <c r="A175" s="19">
        <v>171</v>
      </c>
      <c r="B175" s="138" t="s">
        <v>364</v>
      </c>
      <c r="C175" s="138" t="s">
        <v>513</v>
      </c>
      <c r="D175" s="190">
        <v>1</v>
      </c>
      <c r="E175" s="171">
        <v>288</v>
      </c>
      <c r="F175" s="148">
        <v>206922000</v>
      </c>
      <c r="G175" s="139"/>
      <c r="H175" s="143" t="s">
        <v>104</v>
      </c>
      <c r="I175" s="141" t="s">
        <v>39</v>
      </c>
      <c r="J175" s="141">
        <v>2026</v>
      </c>
      <c r="K175" s="138" t="s">
        <v>14</v>
      </c>
      <c r="L175" s="141" t="s">
        <v>492</v>
      </c>
      <c r="M175" s="164" t="s">
        <v>459</v>
      </c>
    </row>
    <row r="176" spans="1:13" s="165" customFormat="1" ht="33" customHeight="1" x14ac:dyDescent="0.2">
      <c r="A176" s="88">
        <v>172</v>
      </c>
      <c r="B176" s="138" t="s">
        <v>345</v>
      </c>
      <c r="C176" s="138" t="s">
        <v>514</v>
      </c>
      <c r="D176" s="190">
        <v>4</v>
      </c>
      <c r="E176" s="157">
        <v>999.68</v>
      </c>
      <c r="F176" s="152" t="s">
        <v>485</v>
      </c>
      <c r="G176" s="139"/>
      <c r="H176" s="144" t="s">
        <v>168</v>
      </c>
      <c r="I176" s="141" t="s">
        <v>479</v>
      </c>
      <c r="J176" s="141">
        <v>2026</v>
      </c>
      <c r="K176" s="138" t="s">
        <v>14</v>
      </c>
      <c r="L176" s="141" t="s">
        <v>453</v>
      </c>
      <c r="M176" s="164" t="s">
        <v>491</v>
      </c>
    </row>
    <row r="177" spans="1:13 16382:16382" s="51" customFormat="1" x14ac:dyDescent="0.25">
      <c r="A177" s="60"/>
      <c r="B177" s="61"/>
      <c r="C177" s="64" t="s">
        <v>11</v>
      </c>
      <c r="D177" s="65">
        <f>SUM(D5:D176)</f>
        <v>750</v>
      </c>
      <c r="E177" s="65">
        <f t="shared" ref="E177:G177" si="0">SUM(E5:E176)</f>
        <v>608933.28999999992</v>
      </c>
      <c r="F177" s="65">
        <f t="shared" si="0"/>
        <v>220801538879</v>
      </c>
      <c r="G177" s="65">
        <f t="shared" si="0"/>
        <v>3800528000</v>
      </c>
      <c r="H177" s="91">
        <f>F177+G177</f>
        <v>224602066879</v>
      </c>
      <c r="I177" s="64"/>
      <c r="J177" s="64"/>
      <c r="K177" s="66"/>
      <c r="L177" s="162"/>
      <c r="M177" s="66"/>
      <c r="XFB177" s="51">
        <f>SUM(A177:XFA177)</f>
        <v>449204743441.29004</v>
      </c>
    </row>
    <row r="178" spans="1:13 16382:16382" s="97" customFormat="1" ht="15.75" customHeight="1" x14ac:dyDescent="0.25">
      <c r="A178" s="204" t="s">
        <v>12</v>
      </c>
      <c r="B178" s="204"/>
      <c r="C178" s="204"/>
      <c r="D178" s="204"/>
      <c r="E178" s="204"/>
      <c r="F178" s="204"/>
      <c r="G178" s="204"/>
      <c r="H178" s="204"/>
      <c r="I178" s="204"/>
      <c r="J178" s="204"/>
      <c r="K178" s="204"/>
      <c r="L178" s="163"/>
    </row>
    <row r="179" spans="1:13 16382:16382" s="69" customFormat="1" ht="24" customHeight="1" x14ac:dyDescent="0.25">
      <c r="A179" s="88">
        <v>1</v>
      </c>
      <c r="B179" s="76" t="s">
        <v>159</v>
      </c>
      <c r="C179" s="78"/>
      <c r="D179" s="170">
        <v>1</v>
      </c>
      <c r="E179" s="170">
        <v>8924</v>
      </c>
      <c r="F179" s="73">
        <v>1363494000</v>
      </c>
      <c r="G179" s="73"/>
      <c r="H179" s="74" t="s">
        <v>54</v>
      </c>
      <c r="I179" s="74" t="s">
        <v>13</v>
      </c>
      <c r="J179" s="74">
        <v>2026</v>
      </c>
      <c r="K179" s="9" t="s">
        <v>14</v>
      </c>
      <c r="L179" s="9" t="s">
        <v>466</v>
      </c>
      <c r="M179" s="78" t="s">
        <v>467</v>
      </c>
    </row>
    <row r="180" spans="1:13 16382:16382" s="69" customFormat="1" ht="24" x14ac:dyDescent="0.25">
      <c r="A180" s="88">
        <v>2</v>
      </c>
      <c r="B180" s="76" t="s">
        <v>242</v>
      </c>
      <c r="C180" s="78"/>
      <c r="D180" s="176">
        <v>1</v>
      </c>
      <c r="E180" s="176">
        <v>2552</v>
      </c>
      <c r="F180" s="94">
        <v>8103201000</v>
      </c>
      <c r="G180" s="94"/>
      <c r="H180" s="74" t="s">
        <v>54</v>
      </c>
      <c r="I180" s="74" t="s">
        <v>13</v>
      </c>
      <c r="J180" s="74">
        <v>2026</v>
      </c>
      <c r="K180" s="9" t="s">
        <v>14</v>
      </c>
      <c r="L180" s="9" t="s">
        <v>466</v>
      </c>
      <c r="M180" s="78" t="s">
        <v>456</v>
      </c>
    </row>
    <row r="181" spans="1:13 16382:16382" s="69" customFormat="1" ht="24" x14ac:dyDescent="0.25">
      <c r="A181" s="88">
        <v>3</v>
      </c>
      <c r="B181" s="76" t="s">
        <v>243</v>
      </c>
      <c r="C181" s="93"/>
      <c r="D181" s="176">
        <v>1</v>
      </c>
      <c r="E181" s="176">
        <v>5000</v>
      </c>
      <c r="F181" s="94">
        <v>486226000</v>
      </c>
      <c r="G181" s="94"/>
      <c r="H181" s="74" t="s">
        <v>54</v>
      </c>
      <c r="I181" s="74" t="s">
        <v>13</v>
      </c>
      <c r="J181" s="74">
        <v>2026</v>
      </c>
      <c r="K181" s="9" t="s">
        <v>14</v>
      </c>
      <c r="L181" s="9" t="s">
        <v>466</v>
      </c>
      <c r="M181" s="78" t="s">
        <v>465</v>
      </c>
    </row>
    <row r="182" spans="1:13 16382:16382" s="69" customFormat="1" ht="24" x14ac:dyDescent="0.25">
      <c r="A182" s="88">
        <v>4</v>
      </c>
      <c r="B182" s="76" t="s">
        <v>297</v>
      </c>
      <c r="C182" s="78"/>
      <c r="D182" s="176">
        <v>4</v>
      </c>
      <c r="E182" s="176">
        <v>1400</v>
      </c>
      <c r="F182" s="94">
        <v>547295000</v>
      </c>
      <c r="G182" s="94"/>
      <c r="H182" s="74" t="s">
        <v>54</v>
      </c>
      <c r="I182" s="135" t="s">
        <v>13</v>
      </c>
      <c r="J182" s="74">
        <v>2026</v>
      </c>
      <c r="K182" s="9" t="s">
        <v>14</v>
      </c>
      <c r="L182" s="9" t="s">
        <v>468</v>
      </c>
      <c r="M182" s="78"/>
    </row>
    <row r="183" spans="1:13 16382:16382" s="69" customFormat="1" ht="24" x14ac:dyDescent="0.25">
      <c r="A183" s="88">
        <v>5</v>
      </c>
      <c r="B183" s="76" t="s">
        <v>303</v>
      </c>
      <c r="C183" s="78"/>
      <c r="D183" s="176">
        <v>3</v>
      </c>
      <c r="E183" s="176">
        <v>1571</v>
      </c>
      <c r="F183" s="94">
        <v>996380000</v>
      </c>
      <c r="G183" s="94"/>
      <c r="H183" s="74" t="s">
        <v>288</v>
      </c>
      <c r="I183" s="74" t="s">
        <v>37</v>
      </c>
      <c r="J183" s="74">
        <v>2026</v>
      </c>
      <c r="K183" s="9" t="s">
        <v>14</v>
      </c>
      <c r="L183" s="74" t="s">
        <v>469</v>
      </c>
      <c r="M183" s="78" t="s">
        <v>384</v>
      </c>
    </row>
    <row r="184" spans="1:13 16382:16382" s="114" customFormat="1" ht="24" x14ac:dyDescent="0.25">
      <c r="A184" s="88">
        <v>6</v>
      </c>
      <c r="B184" s="104">
        <v>39</v>
      </c>
      <c r="C184" s="108"/>
      <c r="D184" s="175">
        <v>15</v>
      </c>
      <c r="E184" s="174">
        <v>5568.04</v>
      </c>
      <c r="F184" s="117">
        <v>4990121000</v>
      </c>
      <c r="G184" s="117"/>
      <c r="H184" s="107" t="s">
        <v>323</v>
      </c>
      <c r="I184" s="107" t="s">
        <v>409</v>
      </c>
      <c r="J184" s="107">
        <v>2026</v>
      </c>
      <c r="K184" s="107" t="s">
        <v>439</v>
      </c>
      <c r="L184" s="198" t="s">
        <v>500</v>
      </c>
      <c r="M184" s="108" t="s">
        <v>456</v>
      </c>
    </row>
    <row r="185" spans="1:13 16382:16382" s="114" customFormat="1" ht="24" x14ac:dyDescent="0.25">
      <c r="A185" s="88">
        <v>7</v>
      </c>
      <c r="B185" s="104">
        <v>40</v>
      </c>
      <c r="C185" s="108"/>
      <c r="D185" s="175">
        <v>17</v>
      </c>
      <c r="E185" s="174">
        <v>6184.4300000000012</v>
      </c>
      <c r="F185" s="117">
        <v>4055346000</v>
      </c>
      <c r="G185" s="117"/>
      <c r="H185" s="107" t="s">
        <v>323</v>
      </c>
      <c r="I185" s="107" t="s">
        <v>409</v>
      </c>
      <c r="J185" s="107">
        <v>2026</v>
      </c>
      <c r="K185" s="107" t="s">
        <v>439</v>
      </c>
      <c r="L185" s="187" t="s">
        <v>452</v>
      </c>
      <c r="M185" s="108" t="s">
        <v>459</v>
      </c>
    </row>
    <row r="186" spans="1:13 16382:16382" s="114" customFormat="1" ht="24" x14ac:dyDescent="0.25">
      <c r="A186" s="88">
        <v>8</v>
      </c>
      <c r="B186" s="104">
        <v>41</v>
      </c>
      <c r="C186" s="108"/>
      <c r="D186" s="175">
        <v>1</v>
      </c>
      <c r="E186" s="174">
        <v>356</v>
      </c>
      <c r="F186" s="117">
        <v>1630766000</v>
      </c>
      <c r="G186" s="117"/>
      <c r="H186" s="115" t="s">
        <v>324</v>
      </c>
      <c r="I186" s="107" t="s">
        <v>409</v>
      </c>
      <c r="J186" s="107">
        <v>2026</v>
      </c>
      <c r="K186" s="128" t="s">
        <v>440</v>
      </c>
      <c r="L186" s="198" t="s">
        <v>500</v>
      </c>
      <c r="M186" s="108" t="s">
        <v>457</v>
      </c>
    </row>
    <row r="187" spans="1:13 16382:16382" s="114" customFormat="1" ht="24" x14ac:dyDescent="0.25">
      <c r="A187" s="88">
        <v>9</v>
      </c>
      <c r="B187" s="104">
        <v>42</v>
      </c>
      <c r="C187" s="108"/>
      <c r="D187" s="175">
        <v>14</v>
      </c>
      <c r="E187" s="174">
        <v>6237.46</v>
      </c>
      <c r="F187" s="117">
        <v>13539367000</v>
      </c>
      <c r="G187" s="117"/>
      <c r="H187" s="118" t="s">
        <v>231</v>
      </c>
      <c r="I187" s="107" t="s">
        <v>409</v>
      </c>
      <c r="J187" s="107">
        <v>2026</v>
      </c>
      <c r="K187" s="107" t="s">
        <v>437</v>
      </c>
      <c r="L187" s="107" t="s">
        <v>397</v>
      </c>
      <c r="M187" s="108" t="s">
        <v>460</v>
      </c>
    </row>
    <row r="188" spans="1:13 16382:16382" s="114" customFormat="1" ht="25.5" customHeight="1" x14ac:dyDescent="0.25">
      <c r="A188" s="88">
        <v>10</v>
      </c>
      <c r="B188" s="104">
        <v>43</v>
      </c>
      <c r="C188" s="108"/>
      <c r="D188" s="175">
        <v>21</v>
      </c>
      <c r="E188" s="174">
        <v>9035</v>
      </c>
      <c r="F188" s="117">
        <v>4953999000</v>
      </c>
      <c r="G188" s="117"/>
      <c r="H188" s="115" t="s">
        <v>316</v>
      </c>
      <c r="I188" s="107" t="s">
        <v>409</v>
      </c>
      <c r="J188" s="107">
        <v>2026</v>
      </c>
      <c r="K188" s="107" t="s">
        <v>437</v>
      </c>
      <c r="L188" s="197" t="s">
        <v>499</v>
      </c>
      <c r="M188" s="108" t="s">
        <v>458</v>
      </c>
    </row>
    <row r="189" spans="1:13 16382:16382" s="165" customFormat="1" ht="30" customHeight="1" x14ac:dyDescent="0.2">
      <c r="A189" s="88">
        <v>11</v>
      </c>
      <c r="B189" s="138" t="s">
        <v>339</v>
      </c>
      <c r="C189" s="164"/>
      <c r="D189" s="190">
        <v>4</v>
      </c>
      <c r="E189" s="171">
        <v>1822</v>
      </c>
      <c r="F189" s="139">
        <v>1247627000</v>
      </c>
      <c r="G189" s="139"/>
      <c r="H189" s="143" t="s">
        <v>272</v>
      </c>
      <c r="I189" s="141" t="s">
        <v>39</v>
      </c>
      <c r="J189" s="141">
        <v>2026</v>
      </c>
      <c r="K189" s="138" t="s">
        <v>14</v>
      </c>
      <c r="L189" s="141" t="s">
        <v>453</v>
      </c>
      <c r="M189" s="164" t="s">
        <v>491</v>
      </c>
    </row>
    <row r="190" spans="1:13 16382:16382" s="69" customFormat="1" ht="24" x14ac:dyDescent="0.25">
      <c r="A190" s="88">
        <v>12</v>
      </c>
      <c r="B190" s="76" t="s">
        <v>347</v>
      </c>
      <c r="C190" s="78"/>
      <c r="D190" s="176">
        <v>2</v>
      </c>
      <c r="E190" s="176">
        <v>937</v>
      </c>
      <c r="F190" s="71" t="s">
        <v>36</v>
      </c>
      <c r="G190" s="94">
        <v>508545000</v>
      </c>
      <c r="H190" s="74" t="s">
        <v>72</v>
      </c>
      <c r="I190" s="74" t="s">
        <v>13</v>
      </c>
      <c r="J190" s="74">
        <v>2026</v>
      </c>
      <c r="K190" s="9" t="s">
        <v>38</v>
      </c>
      <c r="L190" s="9" t="s">
        <v>453</v>
      </c>
      <c r="M190" s="78" t="s">
        <v>384</v>
      </c>
    </row>
    <row r="191" spans="1:13 16382:16382" s="69" customFormat="1" ht="24" x14ac:dyDescent="0.25">
      <c r="A191" s="88">
        <v>13</v>
      </c>
      <c r="B191" s="76" t="s">
        <v>348</v>
      </c>
      <c r="C191" s="78"/>
      <c r="D191" s="176">
        <v>1</v>
      </c>
      <c r="E191" s="176" t="s">
        <v>36</v>
      </c>
      <c r="F191" s="94">
        <v>209852000</v>
      </c>
      <c r="G191" s="94"/>
      <c r="H191" s="74" t="s">
        <v>349</v>
      </c>
      <c r="I191" s="74" t="s">
        <v>37</v>
      </c>
      <c r="J191" s="74">
        <v>2026</v>
      </c>
      <c r="K191" s="9" t="s">
        <v>14</v>
      </c>
      <c r="L191" s="9" t="s">
        <v>470</v>
      </c>
      <c r="M191" s="78" t="s">
        <v>384</v>
      </c>
    </row>
    <row r="192" spans="1:13 16382:16382" s="69" customFormat="1" ht="24" x14ac:dyDescent="0.25">
      <c r="A192" s="88">
        <v>14</v>
      </c>
      <c r="B192" s="76" t="s">
        <v>350</v>
      </c>
      <c r="C192" s="78"/>
      <c r="D192" s="176">
        <v>1</v>
      </c>
      <c r="E192" s="176">
        <v>1117</v>
      </c>
      <c r="F192" s="94">
        <v>323173000</v>
      </c>
      <c r="G192" s="94"/>
      <c r="H192" s="74" t="s">
        <v>57</v>
      </c>
      <c r="I192" s="74" t="s">
        <v>37</v>
      </c>
      <c r="J192" s="74">
        <v>2026</v>
      </c>
      <c r="K192" s="9" t="s">
        <v>14</v>
      </c>
      <c r="L192" s="9" t="s">
        <v>453</v>
      </c>
      <c r="M192" s="78" t="s">
        <v>384</v>
      </c>
    </row>
    <row r="193" spans="1:13" s="69" customFormat="1" x14ac:dyDescent="0.25">
      <c r="A193" s="88">
        <v>15</v>
      </c>
      <c r="B193" s="76" t="s">
        <v>351</v>
      </c>
      <c r="C193" s="78"/>
      <c r="D193" s="176">
        <v>3</v>
      </c>
      <c r="E193" s="176">
        <v>579</v>
      </c>
      <c r="F193" s="94">
        <v>478877000</v>
      </c>
      <c r="G193" s="94"/>
      <c r="H193" s="74" t="s">
        <v>286</v>
      </c>
      <c r="I193" s="74" t="s">
        <v>13</v>
      </c>
      <c r="J193" s="74">
        <v>2026</v>
      </c>
      <c r="K193" s="9" t="s">
        <v>14</v>
      </c>
      <c r="L193" s="9" t="s">
        <v>470</v>
      </c>
      <c r="M193" s="78" t="s">
        <v>384</v>
      </c>
    </row>
    <row r="194" spans="1:13" s="69" customFormat="1" x14ac:dyDescent="0.25">
      <c r="A194" s="88">
        <v>16</v>
      </c>
      <c r="B194" s="76" t="s">
        <v>354</v>
      </c>
      <c r="C194" s="78"/>
      <c r="D194" s="176">
        <v>4</v>
      </c>
      <c r="E194" s="176">
        <v>579</v>
      </c>
      <c r="F194" s="94">
        <v>320431000</v>
      </c>
      <c r="G194" s="94"/>
      <c r="H194" s="74" t="s">
        <v>255</v>
      </c>
      <c r="I194" s="74" t="s">
        <v>13</v>
      </c>
      <c r="J194" s="74">
        <v>2026</v>
      </c>
      <c r="K194" s="9" t="s">
        <v>14</v>
      </c>
      <c r="L194" s="9" t="s">
        <v>453</v>
      </c>
      <c r="M194" s="78" t="s">
        <v>384</v>
      </c>
    </row>
    <row r="195" spans="1:13" s="69" customFormat="1" ht="24" x14ac:dyDescent="0.25">
      <c r="A195" s="88">
        <v>17</v>
      </c>
      <c r="B195" s="76" t="s">
        <v>355</v>
      </c>
      <c r="C195" s="78"/>
      <c r="D195" s="176">
        <v>7</v>
      </c>
      <c r="E195" s="176">
        <v>3498</v>
      </c>
      <c r="F195" s="94">
        <v>2529621000</v>
      </c>
      <c r="G195" s="94"/>
      <c r="H195" s="74" t="s">
        <v>288</v>
      </c>
      <c r="I195" s="74" t="s">
        <v>37</v>
      </c>
      <c r="J195" s="74">
        <v>2026</v>
      </c>
      <c r="K195" s="9" t="s">
        <v>14</v>
      </c>
      <c r="L195" s="9" t="s">
        <v>453</v>
      </c>
      <c r="M195" s="78" t="s">
        <v>384</v>
      </c>
    </row>
    <row r="196" spans="1:13" s="110" customFormat="1" ht="24" x14ac:dyDescent="0.25">
      <c r="A196" s="88">
        <v>18</v>
      </c>
      <c r="B196" s="104">
        <v>44</v>
      </c>
      <c r="C196" s="116"/>
      <c r="D196" s="178">
        <v>17</v>
      </c>
      <c r="E196" s="178">
        <v>7577</v>
      </c>
      <c r="F196" s="121">
        <v>4864500000.4799995</v>
      </c>
      <c r="G196" s="121"/>
      <c r="H196" s="107" t="s">
        <v>323</v>
      </c>
      <c r="I196" s="107" t="s">
        <v>409</v>
      </c>
      <c r="J196" s="107">
        <v>2026</v>
      </c>
      <c r="K196" s="107" t="s">
        <v>439</v>
      </c>
      <c r="L196" s="80" t="s">
        <v>454</v>
      </c>
      <c r="M196" s="116"/>
    </row>
    <row r="197" spans="1:13" s="110" customFormat="1" ht="24" x14ac:dyDescent="0.25">
      <c r="A197" s="88">
        <v>19</v>
      </c>
      <c r="B197" s="104">
        <v>45</v>
      </c>
      <c r="C197" s="116"/>
      <c r="D197" s="178">
        <v>2</v>
      </c>
      <c r="E197" s="178">
        <v>685</v>
      </c>
      <c r="F197" s="121">
        <v>820920000</v>
      </c>
      <c r="G197" s="121"/>
      <c r="H197" s="115" t="s">
        <v>324</v>
      </c>
      <c r="I197" s="128" t="s">
        <v>409</v>
      </c>
      <c r="J197" s="129">
        <v>2026</v>
      </c>
      <c r="K197" s="129" t="s">
        <v>440</v>
      </c>
      <c r="L197" s="187" t="s">
        <v>452</v>
      </c>
      <c r="M197" s="108" t="s">
        <v>458</v>
      </c>
    </row>
    <row r="198" spans="1:13" s="110" customFormat="1" ht="24" x14ac:dyDescent="0.25">
      <c r="A198" s="88">
        <v>20</v>
      </c>
      <c r="B198" s="104">
        <v>46</v>
      </c>
      <c r="C198" s="116"/>
      <c r="D198" s="178">
        <v>4</v>
      </c>
      <c r="E198" s="178">
        <v>1940.6100000000001</v>
      </c>
      <c r="F198" s="121">
        <v>1447167000</v>
      </c>
      <c r="G198" s="121"/>
      <c r="H198" s="119" t="s">
        <v>329</v>
      </c>
      <c r="I198" s="107" t="s">
        <v>94</v>
      </c>
      <c r="J198" s="107">
        <v>2026</v>
      </c>
      <c r="K198" s="107" t="s">
        <v>437</v>
      </c>
      <c r="L198" s="187" t="s">
        <v>452</v>
      </c>
      <c r="M198" s="108" t="s">
        <v>458</v>
      </c>
    </row>
    <row r="199" spans="1:13" s="110" customFormat="1" ht="24" x14ac:dyDescent="0.25">
      <c r="A199" s="88">
        <v>21</v>
      </c>
      <c r="B199" s="104">
        <v>47</v>
      </c>
      <c r="C199" s="116"/>
      <c r="D199" s="178">
        <v>24</v>
      </c>
      <c r="E199" s="178">
        <v>11210.16</v>
      </c>
      <c r="F199" s="121">
        <v>6058989000</v>
      </c>
      <c r="G199" s="121"/>
      <c r="H199" s="115" t="s">
        <v>316</v>
      </c>
      <c r="I199" s="107" t="s">
        <v>409</v>
      </c>
      <c r="J199" s="107">
        <v>2026</v>
      </c>
      <c r="K199" s="107" t="s">
        <v>437</v>
      </c>
      <c r="L199" s="80" t="s">
        <v>454</v>
      </c>
      <c r="M199" s="116"/>
    </row>
    <row r="200" spans="1:13" s="165" customFormat="1" ht="33" customHeight="1" x14ac:dyDescent="0.2">
      <c r="A200" s="88">
        <v>22</v>
      </c>
      <c r="B200" s="138" t="s">
        <v>366</v>
      </c>
      <c r="C200" s="164"/>
      <c r="D200" s="190">
        <v>12</v>
      </c>
      <c r="E200" s="181">
        <v>6244</v>
      </c>
      <c r="F200" s="148">
        <v>2339797000</v>
      </c>
      <c r="G200" s="139"/>
      <c r="H200" s="144" t="s">
        <v>308</v>
      </c>
      <c r="I200" s="141" t="s">
        <v>479</v>
      </c>
      <c r="J200" s="141">
        <v>2026</v>
      </c>
      <c r="K200" s="138" t="s">
        <v>14</v>
      </c>
      <c r="L200" s="141" t="s">
        <v>472</v>
      </c>
      <c r="M200" s="164" t="s">
        <v>493</v>
      </c>
    </row>
    <row r="201" spans="1:13" s="114" customFormat="1" ht="27.75" customHeight="1" x14ac:dyDescent="0.25">
      <c r="A201" s="88">
        <v>23</v>
      </c>
      <c r="B201" s="104">
        <v>48</v>
      </c>
      <c r="C201" s="108"/>
      <c r="D201" s="175">
        <v>18</v>
      </c>
      <c r="E201" s="183">
        <v>8226.7000000000007</v>
      </c>
      <c r="F201" s="124">
        <v>5438500000</v>
      </c>
      <c r="G201" s="117"/>
      <c r="H201" s="107" t="s">
        <v>323</v>
      </c>
      <c r="I201" s="128" t="s">
        <v>409</v>
      </c>
      <c r="J201" s="129">
        <v>2026</v>
      </c>
      <c r="K201" s="129" t="s">
        <v>439</v>
      </c>
      <c r="L201" s="187" t="s">
        <v>452</v>
      </c>
      <c r="M201" s="108"/>
    </row>
    <row r="202" spans="1:13" s="114" customFormat="1" ht="27.75" customHeight="1" x14ac:dyDescent="0.25">
      <c r="A202" s="88">
        <v>24</v>
      </c>
      <c r="B202" s="104">
        <v>49</v>
      </c>
      <c r="C202" s="108"/>
      <c r="D202" s="175">
        <v>18</v>
      </c>
      <c r="E202" s="183">
        <v>7419</v>
      </c>
      <c r="F202" s="124">
        <v>3984128000</v>
      </c>
      <c r="G202" s="117"/>
      <c r="H202" s="107" t="s">
        <v>371</v>
      </c>
      <c r="I202" s="107" t="s">
        <v>409</v>
      </c>
      <c r="J202" s="107">
        <v>2026</v>
      </c>
      <c r="K202" s="107" t="s">
        <v>455</v>
      </c>
      <c r="L202" s="187" t="s">
        <v>452</v>
      </c>
      <c r="M202" s="108"/>
    </row>
    <row r="203" spans="1:13" s="114" customFormat="1" ht="27.75" customHeight="1" x14ac:dyDescent="0.25">
      <c r="A203" s="88">
        <v>25</v>
      </c>
      <c r="B203" s="104">
        <v>50</v>
      </c>
      <c r="C203" s="108"/>
      <c r="D203" s="175">
        <v>16</v>
      </c>
      <c r="E203" s="183">
        <v>7774</v>
      </c>
      <c r="F203" s="124">
        <v>3834872000</v>
      </c>
      <c r="G203" s="117"/>
      <c r="H203" s="107" t="s">
        <v>371</v>
      </c>
      <c r="I203" s="107" t="s">
        <v>409</v>
      </c>
      <c r="J203" s="107">
        <v>2026</v>
      </c>
      <c r="K203" s="107" t="s">
        <v>455</v>
      </c>
      <c r="L203" s="187" t="s">
        <v>452</v>
      </c>
      <c r="M203" s="108"/>
    </row>
    <row r="204" spans="1:13" s="114" customFormat="1" ht="27.75" customHeight="1" x14ac:dyDescent="0.25">
      <c r="A204" s="88">
        <v>26</v>
      </c>
      <c r="B204" s="104">
        <v>51</v>
      </c>
      <c r="C204" s="108"/>
      <c r="D204" s="175">
        <v>1</v>
      </c>
      <c r="E204" s="183">
        <v>2612</v>
      </c>
      <c r="F204" s="124">
        <v>77218800</v>
      </c>
      <c r="G204" s="117"/>
      <c r="H204" s="107" t="s">
        <v>372</v>
      </c>
      <c r="I204" s="107" t="s">
        <v>409</v>
      </c>
      <c r="J204" s="107">
        <v>2026</v>
      </c>
      <c r="K204" s="128" t="s">
        <v>14</v>
      </c>
      <c r="L204" s="188" t="s">
        <v>452</v>
      </c>
      <c r="M204" s="108" t="s">
        <v>459</v>
      </c>
    </row>
    <row r="205" spans="1:13" s="114" customFormat="1" ht="27.75" customHeight="1" x14ac:dyDescent="0.25">
      <c r="A205" s="88">
        <v>27</v>
      </c>
      <c r="B205" s="104">
        <v>52</v>
      </c>
      <c r="C205" s="108"/>
      <c r="D205" s="175">
        <v>14</v>
      </c>
      <c r="E205" s="183">
        <v>5558</v>
      </c>
      <c r="F205" s="124">
        <v>3250133000</v>
      </c>
      <c r="G205" s="117"/>
      <c r="H205" s="115" t="s">
        <v>316</v>
      </c>
      <c r="I205" s="107" t="s">
        <v>409</v>
      </c>
      <c r="J205" s="107">
        <v>2026</v>
      </c>
      <c r="K205" s="107" t="s">
        <v>437</v>
      </c>
      <c r="L205" s="187" t="s">
        <v>452</v>
      </c>
      <c r="M205" s="108"/>
    </row>
    <row r="206" spans="1:13" s="114" customFormat="1" ht="27.75" customHeight="1" x14ac:dyDescent="0.25">
      <c r="A206" s="88">
        <v>28</v>
      </c>
      <c r="B206" s="104">
        <v>53</v>
      </c>
      <c r="C206" s="108"/>
      <c r="D206" s="175">
        <v>19</v>
      </c>
      <c r="E206" s="183">
        <v>7697.2900000000009</v>
      </c>
      <c r="F206" s="124">
        <v>5024538000</v>
      </c>
      <c r="G206" s="117"/>
      <c r="H206" s="115" t="s">
        <v>316</v>
      </c>
      <c r="I206" s="107" t="s">
        <v>409</v>
      </c>
      <c r="J206" s="107">
        <v>2026</v>
      </c>
      <c r="K206" s="107" t="s">
        <v>437</v>
      </c>
      <c r="L206" s="80" t="s">
        <v>454</v>
      </c>
      <c r="M206" s="108"/>
    </row>
    <row r="207" spans="1:13" s="69" customFormat="1" ht="24" x14ac:dyDescent="0.25">
      <c r="A207" s="88">
        <v>29</v>
      </c>
      <c r="B207" s="76" t="s">
        <v>385</v>
      </c>
      <c r="C207" s="78"/>
      <c r="D207" s="176">
        <v>1</v>
      </c>
      <c r="E207" s="176">
        <v>2675</v>
      </c>
      <c r="F207" s="94">
        <v>3349971000</v>
      </c>
      <c r="G207" s="94"/>
      <c r="H207" s="74" t="s">
        <v>288</v>
      </c>
      <c r="I207" s="74" t="s">
        <v>37</v>
      </c>
      <c r="J207" s="74">
        <v>2026</v>
      </c>
      <c r="K207" s="9" t="s">
        <v>14</v>
      </c>
      <c r="L207" s="9" t="s">
        <v>470</v>
      </c>
      <c r="M207" s="78" t="s">
        <v>384</v>
      </c>
    </row>
    <row r="208" spans="1:13" s="69" customFormat="1" ht="24" x14ac:dyDescent="0.25">
      <c r="A208" s="88">
        <v>30</v>
      </c>
      <c r="B208" s="76" t="s">
        <v>386</v>
      </c>
      <c r="C208" s="78"/>
      <c r="D208" s="176">
        <v>6</v>
      </c>
      <c r="E208" s="176">
        <v>3078</v>
      </c>
      <c r="F208" s="94">
        <v>2192161000</v>
      </c>
      <c r="G208" s="94"/>
      <c r="H208" s="74" t="s">
        <v>288</v>
      </c>
      <c r="I208" s="74" t="s">
        <v>37</v>
      </c>
      <c r="J208" s="74">
        <v>2026</v>
      </c>
      <c r="K208" s="9" t="s">
        <v>14</v>
      </c>
      <c r="L208" s="9" t="s">
        <v>472</v>
      </c>
      <c r="M208" s="78"/>
    </row>
    <row r="209" spans="1:13" s="165" customFormat="1" ht="24" customHeight="1" x14ac:dyDescent="0.2">
      <c r="A209" s="88">
        <v>31</v>
      </c>
      <c r="B209" s="138" t="s">
        <v>387</v>
      </c>
      <c r="C209" s="164"/>
      <c r="D209" s="190">
        <v>3</v>
      </c>
      <c r="E209" s="182">
        <v>1430</v>
      </c>
      <c r="F209" s="145">
        <v>941383000</v>
      </c>
      <c r="G209" s="139"/>
      <c r="H209" s="140" t="s">
        <v>388</v>
      </c>
      <c r="I209" s="141" t="s">
        <v>39</v>
      </c>
      <c r="J209" s="141">
        <v>2026</v>
      </c>
      <c r="K209" s="138" t="s">
        <v>14</v>
      </c>
      <c r="L209" s="141" t="s">
        <v>494</v>
      </c>
      <c r="M209" s="164" t="s">
        <v>459</v>
      </c>
    </row>
    <row r="210" spans="1:13" s="165" customFormat="1" ht="24.75" customHeight="1" x14ac:dyDescent="0.2">
      <c r="A210" s="88">
        <v>32</v>
      </c>
      <c r="B210" s="138" t="s">
        <v>389</v>
      </c>
      <c r="C210" s="164"/>
      <c r="D210" s="190">
        <v>5</v>
      </c>
      <c r="E210" s="184">
        <v>2928</v>
      </c>
      <c r="F210" s="142">
        <v>1117514000</v>
      </c>
      <c r="G210" s="139"/>
      <c r="H210" s="143" t="s">
        <v>148</v>
      </c>
      <c r="I210" s="141" t="s">
        <v>39</v>
      </c>
      <c r="J210" s="141">
        <v>2026</v>
      </c>
      <c r="K210" s="138" t="s">
        <v>14</v>
      </c>
      <c r="L210" s="141" t="s">
        <v>494</v>
      </c>
      <c r="M210" s="164" t="s">
        <v>459</v>
      </c>
    </row>
    <row r="211" spans="1:13" s="165" customFormat="1" ht="21" customHeight="1" x14ac:dyDescent="0.2">
      <c r="A211" s="88">
        <v>33</v>
      </c>
      <c r="B211" s="138" t="s">
        <v>390</v>
      </c>
      <c r="C211" s="164"/>
      <c r="D211" s="190">
        <v>2</v>
      </c>
      <c r="E211" s="172">
        <v>564</v>
      </c>
      <c r="F211" s="142">
        <v>267622000</v>
      </c>
      <c r="G211" s="138"/>
      <c r="H211" s="144" t="s">
        <v>279</v>
      </c>
      <c r="I211" s="141" t="s">
        <v>39</v>
      </c>
      <c r="J211" s="141">
        <v>2026</v>
      </c>
      <c r="K211" s="138" t="s">
        <v>14</v>
      </c>
      <c r="L211" s="141" t="s">
        <v>494</v>
      </c>
      <c r="M211" s="164" t="s">
        <v>459</v>
      </c>
    </row>
    <row r="212" spans="1:13" s="165" customFormat="1" ht="24.75" customHeight="1" x14ac:dyDescent="0.2">
      <c r="A212" s="88">
        <v>34</v>
      </c>
      <c r="B212" s="138" t="s">
        <v>391</v>
      </c>
      <c r="C212" s="164"/>
      <c r="D212" s="190">
        <v>3</v>
      </c>
      <c r="E212" s="172">
        <v>1084</v>
      </c>
      <c r="F212" s="145">
        <v>916397000</v>
      </c>
      <c r="G212" s="138"/>
      <c r="H212" s="146" t="s">
        <v>282</v>
      </c>
      <c r="I212" s="141" t="s">
        <v>488</v>
      </c>
      <c r="J212" s="141">
        <v>2026</v>
      </c>
      <c r="K212" s="138" t="s">
        <v>14</v>
      </c>
      <c r="L212" s="141" t="s">
        <v>494</v>
      </c>
      <c r="M212" s="164" t="s">
        <v>459</v>
      </c>
    </row>
    <row r="213" spans="1:13" s="165" customFormat="1" ht="24.75" customHeight="1" x14ac:dyDescent="0.2">
      <c r="A213" s="88">
        <v>35</v>
      </c>
      <c r="B213" s="138" t="s">
        <v>394</v>
      </c>
      <c r="C213" s="164"/>
      <c r="D213" s="190">
        <v>10</v>
      </c>
      <c r="E213" s="172">
        <v>5588</v>
      </c>
      <c r="F213" s="145">
        <v>2815339500</v>
      </c>
      <c r="G213" s="138"/>
      <c r="H213" s="143" t="s">
        <v>395</v>
      </c>
      <c r="I213" s="141" t="s">
        <v>479</v>
      </c>
      <c r="J213" s="141">
        <v>2026</v>
      </c>
      <c r="K213" s="138" t="s">
        <v>14</v>
      </c>
      <c r="L213" s="141" t="s">
        <v>494</v>
      </c>
      <c r="M213" s="164" t="s">
        <v>459</v>
      </c>
    </row>
    <row r="214" spans="1:13" s="165" customFormat="1" ht="33" customHeight="1" x14ac:dyDescent="0.2">
      <c r="A214" s="88">
        <v>36</v>
      </c>
      <c r="B214" s="138" t="s">
        <v>396</v>
      </c>
      <c r="C214" s="164"/>
      <c r="D214" s="190">
        <v>1</v>
      </c>
      <c r="E214" s="172">
        <v>389</v>
      </c>
      <c r="F214" s="145">
        <v>429453000</v>
      </c>
      <c r="G214" s="138"/>
      <c r="H214" s="144" t="s">
        <v>305</v>
      </c>
      <c r="I214" s="141" t="s">
        <v>476</v>
      </c>
      <c r="J214" s="141">
        <v>2026</v>
      </c>
      <c r="K214" s="138" t="s">
        <v>14</v>
      </c>
      <c r="L214" s="141" t="s">
        <v>494</v>
      </c>
      <c r="M214" s="164" t="s">
        <v>459</v>
      </c>
    </row>
    <row r="215" spans="1:13" s="114" customFormat="1" ht="24" x14ac:dyDescent="0.25">
      <c r="A215" s="88">
        <v>37</v>
      </c>
      <c r="B215" s="104" t="s">
        <v>392</v>
      </c>
      <c r="C215" s="108"/>
      <c r="D215" s="169">
        <v>5</v>
      </c>
      <c r="E215" s="174">
        <v>1640</v>
      </c>
      <c r="F215" s="124">
        <v>397552000</v>
      </c>
      <c r="G215" s="108"/>
      <c r="H215" s="107" t="s">
        <v>18</v>
      </c>
      <c r="I215" s="107" t="s">
        <v>94</v>
      </c>
      <c r="J215" s="107">
        <v>2026</v>
      </c>
      <c r="K215" s="128" t="s">
        <v>14</v>
      </c>
      <c r="L215" s="107" t="s">
        <v>489</v>
      </c>
      <c r="M215" s="108"/>
    </row>
    <row r="216" spans="1:13" s="114" customFormat="1" ht="24" x14ac:dyDescent="0.25">
      <c r="A216" s="88">
        <v>38</v>
      </c>
      <c r="B216" s="104">
        <v>54</v>
      </c>
      <c r="C216" s="108"/>
      <c r="D216" s="169">
        <v>5</v>
      </c>
      <c r="E216" s="174">
        <v>2140.11</v>
      </c>
      <c r="F216" s="124">
        <v>2662957000</v>
      </c>
      <c r="G216" s="108"/>
      <c r="H216" s="118" t="s">
        <v>231</v>
      </c>
      <c r="I216" s="107" t="s">
        <v>409</v>
      </c>
      <c r="J216" s="107">
        <v>2026</v>
      </c>
      <c r="K216" s="107" t="s">
        <v>437</v>
      </c>
      <c r="L216" s="80" t="s">
        <v>454</v>
      </c>
      <c r="M216" s="108"/>
    </row>
    <row r="217" spans="1:13" s="114" customFormat="1" ht="24" x14ac:dyDescent="0.25">
      <c r="A217" s="88">
        <v>39</v>
      </c>
      <c r="B217" s="104">
        <v>55</v>
      </c>
      <c r="C217" s="108"/>
      <c r="D217" s="169">
        <v>1</v>
      </c>
      <c r="E217" s="174">
        <v>470</v>
      </c>
      <c r="F217" s="124">
        <v>437099000</v>
      </c>
      <c r="G217" s="108"/>
      <c r="H217" s="119" t="s">
        <v>189</v>
      </c>
      <c r="I217" s="107" t="s">
        <v>409</v>
      </c>
      <c r="J217" s="107">
        <v>2026</v>
      </c>
      <c r="K217" s="107" t="s">
        <v>437</v>
      </c>
      <c r="L217" s="80" t="s">
        <v>454</v>
      </c>
      <c r="M217" s="108"/>
    </row>
    <row r="218" spans="1:13" s="114" customFormat="1" ht="24" x14ac:dyDescent="0.25">
      <c r="A218" s="88">
        <v>40</v>
      </c>
      <c r="B218" s="104">
        <v>56</v>
      </c>
      <c r="C218" s="108"/>
      <c r="D218" s="169">
        <v>1</v>
      </c>
      <c r="E218" s="174">
        <v>540</v>
      </c>
      <c r="F218" s="124">
        <v>1167330000</v>
      </c>
      <c r="G218" s="108"/>
      <c r="H218" s="118" t="s">
        <v>393</v>
      </c>
      <c r="I218" s="107" t="s">
        <v>409</v>
      </c>
      <c r="J218" s="107">
        <v>2026</v>
      </c>
      <c r="K218" s="107" t="s">
        <v>444</v>
      </c>
      <c r="L218" s="80" t="s">
        <v>454</v>
      </c>
      <c r="M218" s="108"/>
    </row>
    <row r="219" spans="1:13" s="69" customFormat="1" ht="24" x14ac:dyDescent="0.2">
      <c r="A219" s="88">
        <v>41</v>
      </c>
      <c r="B219" s="76" t="s">
        <v>473</v>
      </c>
      <c r="C219" s="78"/>
      <c r="D219" s="176">
        <v>5</v>
      </c>
      <c r="E219" s="176">
        <v>2588</v>
      </c>
      <c r="F219" s="94">
        <v>419750000</v>
      </c>
      <c r="G219" s="94"/>
      <c r="H219" s="132" t="s">
        <v>250</v>
      </c>
      <c r="I219" s="74" t="s">
        <v>37</v>
      </c>
      <c r="J219" s="74">
        <v>2026</v>
      </c>
      <c r="K219" s="9" t="s">
        <v>14</v>
      </c>
      <c r="L219" s="9" t="s">
        <v>472</v>
      </c>
      <c r="M219" s="78"/>
    </row>
    <row r="220" spans="1:13" s="69" customFormat="1" ht="24" x14ac:dyDescent="0.25">
      <c r="A220" s="88">
        <v>42</v>
      </c>
      <c r="B220" s="76" t="s">
        <v>474</v>
      </c>
      <c r="C220" s="78"/>
      <c r="D220" s="176">
        <v>1</v>
      </c>
      <c r="E220" s="176" t="s">
        <v>36</v>
      </c>
      <c r="F220" s="94">
        <v>69269000</v>
      </c>
      <c r="G220" s="94"/>
      <c r="H220" s="74" t="s">
        <v>286</v>
      </c>
      <c r="I220" s="74" t="s">
        <v>37</v>
      </c>
      <c r="J220" s="74">
        <v>2026</v>
      </c>
      <c r="K220" s="9" t="s">
        <v>14</v>
      </c>
      <c r="L220" s="9" t="s">
        <v>468</v>
      </c>
      <c r="M220" s="78"/>
    </row>
    <row r="221" spans="1:13" s="69" customFormat="1" ht="24" x14ac:dyDescent="0.25">
      <c r="A221" s="88">
        <v>43</v>
      </c>
      <c r="B221" s="76" t="s">
        <v>495</v>
      </c>
      <c r="C221" s="78"/>
      <c r="D221" s="176">
        <v>1</v>
      </c>
      <c r="E221" s="176">
        <v>323</v>
      </c>
      <c r="F221" s="94">
        <v>43943000</v>
      </c>
      <c r="G221" s="94"/>
      <c r="H221" s="74" t="s">
        <v>161</v>
      </c>
      <c r="I221" s="74" t="s">
        <v>37</v>
      </c>
      <c r="J221" s="74">
        <v>2026</v>
      </c>
      <c r="K221" s="9" t="s">
        <v>14</v>
      </c>
      <c r="L221" s="95" t="s">
        <v>468</v>
      </c>
    </row>
    <row r="222" spans="1:13" s="69" customFormat="1" ht="36" x14ac:dyDescent="0.25">
      <c r="A222" s="88">
        <v>44</v>
      </c>
      <c r="B222" s="76" t="s">
        <v>496</v>
      </c>
      <c r="C222" s="78"/>
      <c r="D222" s="176">
        <v>1</v>
      </c>
      <c r="E222" s="176">
        <v>283</v>
      </c>
      <c r="F222" s="94">
        <v>165464000</v>
      </c>
      <c r="G222" s="94"/>
      <c r="H222" s="74" t="s">
        <v>85</v>
      </c>
      <c r="I222" s="74" t="s">
        <v>13</v>
      </c>
      <c r="J222" s="74">
        <v>2026</v>
      </c>
      <c r="K222" s="9" t="s">
        <v>14</v>
      </c>
      <c r="L222" s="95" t="s">
        <v>468</v>
      </c>
    </row>
    <row r="223" spans="1:13" s="69" customFormat="1" ht="24" x14ac:dyDescent="0.2">
      <c r="A223" s="88">
        <v>45</v>
      </c>
      <c r="B223" s="76" t="s">
        <v>497</v>
      </c>
      <c r="C223" s="78"/>
      <c r="D223" s="176">
        <v>1</v>
      </c>
      <c r="E223" s="176">
        <v>704</v>
      </c>
      <c r="F223" s="94">
        <v>170925000</v>
      </c>
      <c r="G223" s="94"/>
      <c r="H223" s="131" t="s">
        <v>227</v>
      </c>
      <c r="I223" s="74" t="s">
        <v>13</v>
      </c>
      <c r="J223" s="74">
        <v>2026</v>
      </c>
      <c r="K223" s="9" t="s">
        <v>14</v>
      </c>
      <c r="L223" s="95" t="s">
        <v>468</v>
      </c>
    </row>
    <row r="224" spans="1:13" s="69" customFormat="1" x14ac:dyDescent="0.2">
      <c r="A224" s="88">
        <v>46</v>
      </c>
      <c r="B224" s="76" t="s">
        <v>501</v>
      </c>
      <c r="C224" s="78"/>
      <c r="D224" s="76">
        <v>2</v>
      </c>
      <c r="E224" s="199">
        <v>5300</v>
      </c>
      <c r="F224" s="94">
        <f>34324000+482121000</f>
        <v>516445000</v>
      </c>
      <c r="G224" s="94"/>
      <c r="H224" s="131" t="s">
        <v>502</v>
      </c>
      <c r="I224" s="135" t="s">
        <v>503</v>
      </c>
      <c r="J224" s="74">
        <v>2026</v>
      </c>
      <c r="K224" s="9" t="s">
        <v>14</v>
      </c>
      <c r="L224" s="95" t="s">
        <v>468</v>
      </c>
    </row>
    <row r="225" spans="1:13" s="50" customFormat="1" x14ac:dyDescent="0.25">
      <c r="A225" s="19"/>
      <c r="B225" s="57" t="s">
        <v>11</v>
      </c>
      <c r="C225" s="48"/>
      <c r="D225" s="77">
        <f>SUM(D179:D224)</f>
        <v>299</v>
      </c>
      <c r="E225" s="77">
        <f t="shared" ref="E225:G225" si="1">SUM(E179:E224)</f>
        <v>154027.79999999999</v>
      </c>
      <c r="F225" s="77">
        <f t="shared" si="1"/>
        <v>100997113300.48</v>
      </c>
      <c r="G225" s="77">
        <f t="shared" si="1"/>
        <v>508545000</v>
      </c>
      <c r="H225" s="49"/>
      <c r="I225" s="48"/>
      <c r="J225" s="48"/>
      <c r="K225" s="48"/>
      <c r="L225" s="8"/>
      <c r="M225" s="48"/>
    </row>
    <row r="226" spans="1:13" x14ac:dyDescent="0.25">
      <c r="A226" s="19"/>
      <c r="B226" s="54" t="s">
        <v>15</v>
      </c>
      <c r="C226" s="16"/>
      <c r="D226" s="79">
        <f>D177+D225</f>
        <v>1049</v>
      </c>
      <c r="E226" s="15">
        <f>E177+E225</f>
        <v>762961.08999999985</v>
      </c>
      <c r="F226" s="15">
        <f>F177+F225</f>
        <v>321798652179.47998</v>
      </c>
      <c r="G226" s="15">
        <f>G177+G225</f>
        <v>4309073000</v>
      </c>
      <c r="H226" s="24"/>
      <c r="I226" s="16"/>
      <c r="J226" s="16"/>
      <c r="K226" s="16"/>
      <c r="L226" s="7"/>
      <c r="M226" s="58"/>
    </row>
    <row r="227" spans="1:13" ht="4.5" customHeight="1" x14ac:dyDescent="0.25"/>
    <row r="228" spans="1:13" s="25" customFormat="1" ht="13.5" customHeight="1" x14ac:dyDescent="0.25">
      <c r="A228" s="90"/>
      <c r="B228" s="56"/>
      <c r="C228" s="25" t="s">
        <v>20</v>
      </c>
      <c r="D228" s="194"/>
      <c r="E228" s="31"/>
      <c r="F228" s="166">
        <f>257990300000+64591900000</f>
        <v>322582200000</v>
      </c>
      <c r="G228" s="31">
        <f>G237</f>
        <v>19001526923.5</v>
      </c>
      <c r="H228" s="63">
        <f>SUM(F228:G228)</f>
        <v>341583726923.5</v>
      </c>
      <c r="K228" s="26"/>
      <c r="L228" s="2"/>
    </row>
    <row r="229" spans="1:13" x14ac:dyDescent="0.25">
      <c r="C229" s="9" t="s">
        <v>16</v>
      </c>
      <c r="D229" s="195">
        <f>D177</f>
        <v>750</v>
      </c>
      <c r="E229" s="185">
        <f>E177</f>
        <v>608933.28999999992</v>
      </c>
      <c r="F229" s="12">
        <f>F177</f>
        <v>220801538879</v>
      </c>
      <c r="G229" s="12">
        <f>G177</f>
        <v>3800528000</v>
      </c>
      <c r="H229" s="27">
        <f>F229+G229</f>
        <v>224602066879</v>
      </c>
      <c r="I229" s="52"/>
    </row>
    <row r="230" spans="1:13" ht="24" x14ac:dyDescent="0.25">
      <c r="C230" s="10" t="s">
        <v>33</v>
      </c>
      <c r="D230" s="195">
        <f>D225</f>
        <v>299</v>
      </c>
      <c r="E230" s="185">
        <f>E225</f>
        <v>154027.79999999999</v>
      </c>
      <c r="F230" s="13">
        <f>F225</f>
        <v>100997113300.48</v>
      </c>
      <c r="G230" s="13">
        <f>G225</f>
        <v>508545000</v>
      </c>
      <c r="H230" s="29">
        <f>SUM(F230:G230)</f>
        <v>101505658300.48</v>
      </c>
    </row>
    <row r="231" spans="1:13" x14ac:dyDescent="0.25">
      <c r="C231" s="11" t="s">
        <v>15</v>
      </c>
      <c r="D231" s="195">
        <f>D226</f>
        <v>1049</v>
      </c>
      <c r="E231" s="185">
        <f>E226</f>
        <v>762961.08999999985</v>
      </c>
      <c r="F231" s="14">
        <f>SUM(F229:F230)</f>
        <v>321798652179.47998</v>
      </c>
      <c r="G231" s="14">
        <f>SUM(G229:G230)</f>
        <v>4309073000</v>
      </c>
      <c r="H231" s="29"/>
    </row>
    <row r="232" spans="1:13" ht="16.5" customHeight="1" x14ac:dyDescent="0.25">
      <c r="C232" s="21" t="s">
        <v>17</v>
      </c>
      <c r="D232" s="196"/>
      <c r="E232" s="186"/>
      <c r="F232" s="20">
        <f>F228-F226</f>
        <v>783547820.52001953</v>
      </c>
      <c r="G232" s="20">
        <f>19001526923.5-G231</f>
        <v>14692453923.5</v>
      </c>
      <c r="H232" s="28">
        <f>SUM(F232:G232)</f>
        <v>15476001744.02002</v>
      </c>
    </row>
    <row r="233" spans="1:13" x14ac:dyDescent="0.2">
      <c r="F233" s="31"/>
      <c r="G233" s="167">
        <v>3565.5</v>
      </c>
      <c r="H233" s="2" t="s">
        <v>79</v>
      </c>
    </row>
    <row r="234" spans="1:13" x14ac:dyDescent="0.25">
      <c r="G234" s="30">
        <f>G233*10925155</f>
        <v>38953640152.5</v>
      </c>
      <c r="H234" s="2" t="s">
        <v>19</v>
      </c>
    </row>
    <row r="236" spans="1:13" x14ac:dyDescent="0.25">
      <c r="E236" s="92"/>
      <c r="G236" s="31">
        <v>19952113229</v>
      </c>
      <c r="H236" s="103" t="s">
        <v>77</v>
      </c>
    </row>
    <row r="237" spans="1:13" x14ac:dyDescent="0.25">
      <c r="G237" s="4">
        <f>G234-G236</f>
        <v>19001526923.5</v>
      </c>
      <c r="H237" s="103" t="s">
        <v>78</v>
      </c>
    </row>
    <row r="238" spans="1:13" x14ac:dyDescent="0.25">
      <c r="F238" s="67"/>
    </row>
  </sheetData>
  <autoFilter ref="A3:XFB226" xr:uid="{669AEE39-F29A-4746-87A4-7490306CD755}"/>
  <mergeCells count="3">
    <mergeCell ref="A1:K1"/>
    <mergeCell ref="A4:K4"/>
    <mergeCell ref="A178:K178"/>
  </mergeCells>
  <pageMargins left="0.25" right="0.25" top="0.5" bottom="0.25" header="0.3" footer="0.3"/>
  <pageSetup paperSize="8" scale="1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28DED-1BAB-4049-AA3A-AA4E0A996E01}">
  <dimension ref="B1:F17"/>
  <sheetViews>
    <sheetView tabSelected="1" zoomScale="130" zoomScaleNormal="130" workbookViewId="0">
      <selection activeCell="E13" sqref="E13"/>
    </sheetView>
  </sheetViews>
  <sheetFormatPr defaultRowHeight="15" x14ac:dyDescent="0.25"/>
  <cols>
    <col min="1" max="1" width="3.42578125" customWidth="1"/>
    <col min="2" max="2" width="22.85546875" customWidth="1"/>
    <col min="3" max="3" width="23.85546875" customWidth="1"/>
    <col min="4" max="5" width="37.7109375" customWidth="1"/>
    <col min="6" max="6" width="10.42578125" customWidth="1"/>
    <col min="7" max="7" width="21.28515625" customWidth="1"/>
  </cols>
  <sheetData>
    <row r="1" spans="2:6" ht="15.75" thickBot="1" x14ac:dyDescent="0.3"/>
    <row r="2" spans="2:6" ht="36" customHeight="1" x14ac:dyDescent="0.25">
      <c r="B2" s="68" t="s">
        <v>22</v>
      </c>
      <c r="C2" s="33" t="s">
        <v>23</v>
      </c>
      <c r="D2" s="81" t="s">
        <v>24</v>
      </c>
      <c r="E2" s="34" t="s">
        <v>25</v>
      </c>
      <c r="F2" s="43" t="s">
        <v>34</v>
      </c>
    </row>
    <row r="3" spans="2:6" ht="15.75" thickBot="1" x14ac:dyDescent="0.3">
      <c r="B3" s="44" t="s">
        <v>20</v>
      </c>
      <c r="C3" s="32" t="s">
        <v>26</v>
      </c>
      <c r="D3" s="82">
        <v>322.58199999999999</v>
      </c>
      <c r="E3" s="70">
        <v>19</v>
      </c>
      <c r="F3" s="45">
        <f>+D3+E3</f>
        <v>341.58199999999999</v>
      </c>
    </row>
    <row r="4" spans="2:6" x14ac:dyDescent="0.25">
      <c r="B4" s="205" t="s">
        <v>16</v>
      </c>
      <c r="C4" s="33" t="s">
        <v>4</v>
      </c>
      <c r="D4" s="83">
        <f>F4-E4</f>
        <v>733</v>
      </c>
      <c r="E4" s="59">
        <f>'7р хавсралт_322.58тэрбум'!D35+'7р хавсралт_322.58тэрбум'!D62+'7р хавсралт_322.58тэрбум'!D114+'7р хавсралт_322.58тэрбум'!D151</f>
        <v>17</v>
      </c>
      <c r="F4" s="35">
        <f>'7р хавсралт_322.58тэрбум'!D177</f>
        <v>750</v>
      </c>
    </row>
    <row r="5" spans="2:6" x14ac:dyDescent="0.25">
      <c r="B5" s="206"/>
      <c r="C5" s="17" t="s">
        <v>27</v>
      </c>
      <c r="D5" s="84">
        <f>F5-E5</f>
        <v>60.160016999999996</v>
      </c>
      <c r="E5" s="41">
        <f>('7р хавсралт_322.58тэрбум'!E35+'7р хавсралт_322.58тэрбум'!E62+'7р хавсралт_322.58тэрбум'!E114+'7р хавсралт_322.58тэрбум'!E151)/10000</f>
        <v>0.73331199999999996</v>
      </c>
      <c r="F5" s="36">
        <f>'7р хавсралт_322.58тэрбум'!E177/10000</f>
        <v>60.893328999999994</v>
      </c>
    </row>
    <row r="6" spans="2:6" ht="15.75" thickBot="1" x14ac:dyDescent="0.3">
      <c r="B6" s="207"/>
      <c r="C6" s="37" t="s">
        <v>28</v>
      </c>
      <c r="D6" s="85">
        <f>F6-E6</f>
        <v>220.80153887900002</v>
      </c>
      <c r="E6" s="42">
        <f>('7р хавсралт_322.58тэрбум'!G35+'7р хавсралт_322.58тэрбум'!G62+'7р хавсралт_322.58тэрбум'!G114+'7р хавсралт_322.58тэрбум'!G151)/1000000000</f>
        <v>3.8005279999999999</v>
      </c>
      <c r="F6" s="96">
        <f>'7р хавсралт_322.58тэрбум'!H229/1000000000</f>
        <v>224.60206687900001</v>
      </c>
    </row>
    <row r="7" spans="2:6" x14ac:dyDescent="0.25">
      <c r="B7" s="205" t="s">
        <v>29</v>
      </c>
      <c r="C7" s="33" t="s">
        <v>4</v>
      </c>
      <c r="D7" s="86">
        <f t="shared" ref="D7:D12" si="0">F7-E7</f>
        <v>297</v>
      </c>
      <c r="E7" s="62">
        <f>'7р хавсралт_322.58тэрбум'!D190</f>
        <v>2</v>
      </c>
      <c r="F7" s="35">
        <f>'7р хавсралт_322.58тэрбум'!D225</f>
        <v>299</v>
      </c>
    </row>
    <row r="8" spans="2:6" x14ac:dyDescent="0.25">
      <c r="B8" s="206"/>
      <c r="C8" s="17" t="s">
        <v>27</v>
      </c>
      <c r="D8" s="84">
        <f t="shared" si="0"/>
        <v>15.309079999999998</v>
      </c>
      <c r="E8" s="41">
        <f>('7р хавсралт_322.58тэрбум'!E190)/10000</f>
        <v>9.3700000000000006E-2</v>
      </c>
      <c r="F8" s="36">
        <f>'7р хавсралт_322.58тэрбум'!E225/10000</f>
        <v>15.402779999999998</v>
      </c>
    </row>
    <row r="9" spans="2:6" ht="15.75" thickBot="1" x14ac:dyDescent="0.3">
      <c r="B9" s="207"/>
      <c r="C9" s="37" t="s">
        <v>28</v>
      </c>
      <c r="D9" s="85">
        <f t="shared" si="0"/>
        <v>100.99711330048</v>
      </c>
      <c r="E9" s="42">
        <f>('7р хавсралт_322.58тэрбум'!G190)/1000000000</f>
        <v>0.50854500000000002</v>
      </c>
      <c r="F9" s="38">
        <f>'7р хавсралт_322.58тэрбум'!H230/1000000000</f>
        <v>101.50565830047999</v>
      </c>
    </row>
    <row r="10" spans="2:6" x14ac:dyDescent="0.25">
      <c r="B10" s="205" t="s">
        <v>15</v>
      </c>
      <c r="C10" s="33" t="s">
        <v>4</v>
      </c>
      <c r="D10" s="86">
        <f t="shared" si="0"/>
        <v>1030</v>
      </c>
      <c r="E10" s="34">
        <f t="shared" ref="E10:F12" si="1">E4+E7</f>
        <v>19</v>
      </c>
      <c r="F10" s="39">
        <f t="shared" si="1"/>
        <v>1049</v>
      </c>
    </row>
    <row r="11" spans="2:6" x14ac:dyDescent="0.25">
      <c r="B11" s="206"/>
      <c r="C11" s="17" t="s">
        <v>27</v>
      </c>
      <c r="D11" s="84">
        <f t="shared" si="0"/>
        <v>75.469096999999991</v>
      </c>
      <c r="E11" s="41">
        <f t="shared" si="1"/>
        <v>0.82701199999999997</v>
      </c>
      <c r="F11" s="46">
        <f t="shared" si="1"/>
        <v>76.296108999999987</v>
      </c>
    </row>
    <row r="12" spans="2:6" ht="15.75" thickBot="1" x14ac:dyDescent="0.3">
      <c r="B12" s="207"/>
      <c r="C12" s="37" t="s">
        <v>28</v>
      </c>
      <c r="D12" s="85">
        <f t="shared" si="0"/>
        <v>321.79865217947997</v>
      </c>
      <c r="E12" s="42">
        <f t="shared" si="1"/>
        <v>4.3090729999999997</v>
      </c>
      <c r="F12" s="40">
        <f t="shared" si="1"/>
        <v>326.10772517947998</v>
      </c>
    </row>
    <row r="13" spans="2:6" ht="15.75" thickBot="1" x14ac:dyDescent="0.3">
      <c r="B13" s="98" t="s">
        <v>17</v>
      </c>
      <c r="C13" s="99" t="s">
        <v>30</v>
      </c>
      <c r="D13" s="100">
        <f>'7р хавсралт_322.58тэрбум'!F232/1000000000</f>
        <v>0.78354782052001948</v>
      </c>
      <c r="E13" s="101">
        <f>'7р хавсралт_322.58тэрбум'!G232/1000000000</f>
        <v>14.6924539235</v>
      </c>
      <c r="F13" s="102">
        <f>'7р хавсралт_322.58тэрбум'!H232/1000000000</f>
        <v>15.476001744020019</v>
      </c>
    </row>
    <row r="15" spans="2:6" x14ac:dyDescent="0.25">
      <c r="C15" t="s">
        <v>31</v>
      </c>
      <c r="D15" s="47">
        <f>D13/D3*100</f>
        <v>0.24289880418622845</v>
      </c>
      <c r="E15" s="47">
        <f>E13/E3*100</f>
        <v>77.328704860526315</v>
      </c>
    </row>
    <row r="16" spans="2:6" x14ac:dyDescent="0.25">
      <c r="C16" t="s">
        <v>32</v>
      </c>
      <c r="D16" s="47">
        <f>100-D15</f>
        <v>99.757101195813775</v>
      </c>
      <c r="E16" s="47">
        <f>100-E15</f>
        <v>22.671295139473685</v>
      </c>
    </row>
    <row r="17" spans="4:4" x14ac:dyDescent="0.25">
      <c r="D17" s="47">
        <f>D6+D9</f>
        <v>321.79865217948003</v>
      </c>
    </row>
  </sheetData>
  <mergeCells count="3">
    <mergeCell ref="B4:B6"/>
    <mergeCell ref="B7:B9"/>
    <mergeCell ref="B10:B12"/>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7р хавсралт_322.58тэрбум</vt:lpstr>
      <vt:lpstr>Өнгөт хүснэгт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NGA0393</dc:creator>
  <cp:lastModifiedBy>NGA0042</cp:lastModifiedBy>
  <cp:lastPrinted>2026-08-11T03:20:41Z</cp:lastPrinted>
  <dcterms:created xsi:type="dcterms:W3CDTF">2025-01-10T03:50:12Z</dcterms:created>
  <dcterms:modified xsi:type="dcterms:W3CDTF">2026-08-11T07:33:52Z</dcterms:modified>
</cp:coreProperties>
</file>